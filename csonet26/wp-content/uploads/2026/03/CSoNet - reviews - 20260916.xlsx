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list" sheetId="1" r:id="rId4"/>
    <sheet state="visible" name="Program" sheetId="2" r:id="rId5"/>
    <sheet state="visible" name="Sheet9" sheetId="3" r:id="rId6"/>
    <sheet state="visible" name="Main track" sheetId="4" r:id="rId7"/>
    <sheet state="visible" name="JOCO" sheetId="5" r:id="rId8"/>
    <sheet state="visible" name="Workshop" sheetId="6" r:id="rId9"/>
    <sheet state="visible" name="Copy of Final list" sheetId="7" r:id="rId10"/>
    <sheet state="visible" name="Statistic" sheetId="8" r:id="rId11"/>
    <sheet state="visible" name="Proceedings " sheetId="9" r:id="rId12"/>
  </sheets>
  <definedNames>
    <definedName hidden="1" localSheetId="0" name="_xlnm._FilterDatabase">'Final list'!$A$1:$H$169</definedName>
    <definedName hidden="1" localSheetId="3" name="_xlnm._FilterDatabase">'Main track'!$A$1:$N$999</definedName>
    <definedName hidden="1" localSheetId="6" name="_xlnm._FilterDatabase">'Copy of Final list'!$A$1:$H$169</definedName>
  </definedNames>
  <calcPr/>
  <extLst>
    <ext uri="GoogleSheetsCustomDataVersion2">
      <go:sheetsCustomData xmlns:go="http://customooxmlschemas.google.com/" r:id="rId13" roundtripDataChecksum="6hbsj57MH7O0doDnfXeiFH/m8OmE1Kj76IhQe83gXWI="/>
    </ext>
  </extLst>
</workbook>
</file>

<file path=xl/sharedStrings.xml><?xml version="1.0" encoding="utf-8"?>
<sst xmlns="http://schemas.openxmlformats.org/spreadsheetml/2006/main" count="3573" uniqueCount="1219">
  <si>
    <t xml:space="preserve">Paper ID </t>
  </si>
  <si>
    <t xml:space="preserve">Name </t>
  </si>
  <si>
    <t>Title</t>
  </si>
  <si>
    <t xml:space="preserve">Request </t>
  </si>
  <si>
    <t>Missing final</t>
  </si>
  <si>
    <t>Paper ID</t>
  </si>
  <si>
    <t>Plagiarism check
Similarity</t>
  </si>
  <si>
    <t>Plagiarism check
Highest match</t>
  </si>
  <si>
    <t>Authors</t>
  </si>
  <si>
    <t>Type</t>
  </si>
  <si>
    <t>Accepted/Rejected</t>
  </si>
  <si>
    <t>Trình bày vào ngày 16</t>
  </si>
  <si>
    <t>Authors (Lastname Firstname (Organization))</t>
  </si>
  <si>
    <t>Recommended
Acceptance</t>
  </si>
  <si>
    <t>Registered (1=yes, 0=no)</t>
  </si>
  <si>
    <t>JR-STAR</t>
  </si>
  <si>
    <t>Recommended
Revision</t>
  </si>
  <si>
    <t xml:space="preserve">Trình bày vào sáng 16 </t>
  </si>
  <si>
    <t>Recommended
Rejection</t>
  </si>
  <si>
    <t>Registrant name</t>
  </si>
  <si>
    <t>Sum</t>
  </si>
  <si>
    <t>Registrant affiliation</t>
  </si>
  <si>
    <t>PiC</t>
  </si>
  <si>
    <t>Registrant email</t>
  </si>
  <si>
    <t>Make decision on Meteor</t>
  </si>
  <si>
    <t>RailPROC</t>
  </si>
  <si>
    <t>Ontology-Driven Sentiment Analytics for Teaching Outcome Assessment from Vietnamese Open-Ended Student Feedback</t>
  </si>
  <si>
    <t>Abstract only</t>
  </si>
  <si>
    <t>Optimizing Technical Knowledge Retrieval</t>
  </si>
  <si>
    <t>AI-TECH Workshop</t>
  </si>
  <si>
    <t>Thuy Pham Thi Thu (Nha Trang University); Chi Thanh Bui (Nha Trang University); Minh Duc Huynh (Nha Trang University)</t>
  </si>
  <si>
    <t>Pham Thi Thu Thuy</t>
  </si>
  <si>
    <t>Nha Trang University</t>
  </si>
  <si>
    <t>thuthuy@ntu.edu.vn</t>
  </si>
  <si>
    <t>QSpec-Cal EEGNet: Leakage-Safe Quantum Spectral Calibration for Subject-Level Schizophrenia EEG Classification</t>
  </si>
  <si>
    <t>VSC-Graph: A Structure-Aware Text Representation for Data-Efficient Chart Understanding</t>
  </si>
  <si>
    <t>Pham Lenh Phan Cong (FPT Univeristy)</t>
  </si>
  <si>
    <t>Lenh Phan Cong Pham</t>
  </si>
  <si>
    <t>FPT University</t>
  </si>
  <si>
    <t>conglenhta@gmail.com</t>
  </si>
  <si>
    <t>Distribution-Free, Physics-Anchored Raman Screening for Skin Cancer: Conformal Sensitivity Guarantees and Band-Level Explanations for Edge Deployment</t>
  </si>
  <si>
    <t>Chu Hoang</t>
  </si>
  <si>
    <t>ID CSONET</t>
  </si>
  <si>
    <t>Invited talks</t>
  </si>
  <si>
    <t>ID JOCO</t>
  </si>
  <si>
    <t>Status</t>
  </si>
  <si>
    <t>Combinatorial Optimization for Privacy-Preserving Audio Forensics in IoT via Hybrid Cryptographic Architectures</t>
  </si>
  <si>
    <t>MAI XUÂN, T., TRAN, T., Tra, H., Kieu, T., Le, H.</t>
  </si>
  <si>
    <t>Rejected</t>
  </si>
  <si>
    <t>Accepted</t>
  </si>
  <si>
    <t>POI-Urban: Semantic-Aware Multimodal POI Representation Learning for Zero-Shot Cross-Platform Transfer</t>
  </si>
  <si>
    <t>Le-Thi-Thu Nga (Vietnam - Korea University of Information and Communication Technology); Le-Tien Vu (Vietnam - Korea University of Information and Communications Technology); Nguyen-Minh Nhat (Vietnam - Korea University of Information and Communications Technology)</t>
  </si>
  <si>
    <t>Nga Le-Thi-Thu</t>
  </si>
  <si>
    <t>Vietnam - Korea University of Information and Communication Technology, DaNang, Vietnam</t>
  </si>
  <si>
    <t>lttnga@vku.udn.vn</t>
  </si>
  <si>
    <t>No</t>
  </si>
  <si>
    <t>2</t>
  </si>
  <si>
    <t>Speaker</t>
  </si>
  <si>
    <t xml:space="preserve">Type </t>
  </si>
  <si>
    <t>A Method for Improving the Effectiveness of Collision Prediction Models Using Deep Learning</t>
  </si>
  <si>
    <t xml:space="preserve">Title </t>
  </si>
  <si>
    <t>Bio</t>
  </si>
  <si>
    <t>Le Thi Vinh Thanh (Industrial University of Ho Chi Minh City); Nguyen Thi Tuyet Lan Nguyen Thi Tuyet Lan (INDUSTRIAL UNIVERSITY OF HO CHI MINH CITY); Thu Do Minh (INDUSTRIAL UNIVERSITY OF HO CHI MINH CITY); Tron Giang Thanh (INDUSTRIAL UNIVERSITY OF HO CHI MINH CITY)</t>
  </si>
  <si>
    <t>Nguyen Thi Tuyet Lan</t>
  </si>
  <si>
    <t>Streaming Algorithms for Monotone $k$-Submodular Maximization under Fairness Constraints</t>
  </si>
  <si>
    <t>Industrial University of Ho Chi Minh City</t>
  </si>
  <si>
    <t>22651091.lan@student.iuh.edu.vn</t>
  </si>
  <si>
    <t/>
  </si>
  <si>
    <t>Minor Revision</t>
  </si>
  <si>
    <t>Ontology-Grounded Knowledge Graphs for High-Level Inference in Agentic AI Systems: A Semantic Knowledge Layer Architecture for Digital Government Services</t>
  </si>
  <si>
    <t>Hoang Hanh; Lap Hien Do; Thi Thuy Trang Le; Bao Khoa Hoang</t>
  </si>
  <si>
    <t>Hanh Hoang</t>
  </si>
  <si>
    <t>MARS: Monotone-Aware Reinforcement Learning for Diversity-Constrained Slate Recommendation with Provable Near-Monotone Approximation Guarantees</t>
  </si>
  <si>
    <t>Major Revision</t>
  </si>
  <si>
    <t>JOCO-D-26-00665</t>
  </si>
  <si>
    <t>Ministry of Science and Technology</t>
  </si>
  <si>
    <t>hhhanh@gmail.com</t>
  </si>
  <si>
    <t>ViFES: A Vietnamese Fine-grained Explainable Supervision Framework for Fact-checking</t>
  </si>
  <si>
    <t>Adaptive Poisson-Binomial Joint Conformal Intervals for Reliable Cell Counting under Distribution Shift</t>
  </si>
  <si>
    <t>Ngoc Bui Phan Bao (Ho Chi Minh City University of Industry and Trade); Truong Cu Duc (Ho Chi Minh City University of Industry and Trade); Nguyen Vu (Ho Chi Minh City University of Industry and Trade); Khai Tran Thien (Ho Chi Minh City University of Industry and Trade)</t>
  </si>
  <si>
    <t>Thien Khai Tran</t>
  </si>
  <si>
    <t>Ho Chi Minh City University of Industry and Trade (HUIT)</t>
  </si>
  <si>
    <t>thientk@huit.edu.vn</t>
  </si>
  <si>
    <t>A Unified Physics-Informed Spatio-Temporal Graph Neural Network for Pressure and Flow Forecasting in Water Networks</t>
  </si>
  <si>
    <t>Phan Phuoc-Minh (Ho Chi Minh Univeristy Of Technology); Le Thanh Van (Ho Chi Minh City University of Technology (HCMUT), VNU-HCM)</t>
  </si>
  <si>
    <t>Phuoc-Minh Phan</t>
  </si>
  <si>
    <t>Ho Chi Minh City University of Technology (HCMUT), VNU-HCM</t>
  </si>
  <si>
    <t>ppminh.sdh242@hcmut.edu.vn</t>
  </si>
  <si>
    <t>Coast-Net: Spatial-Attention Deep Learning for Multi-Station Storm Surge Forecasting along the Vietnamese Coast</t>
  </si>
  <si>
    <t>Nguyen Thu Van (University of PhuongDong)</t>
  </si>
  <si>
    <t>Van Nguyen</t>
  </si>
  <si>
    <t>Cost-Effective Multi-Pass Streaming Algorithms for Submodular Cover</t>
  </si>
  <si>
    <t>University of Phuong Dong</t>
  </si>
  <si>
    <t>van.nt@phuongdong.edu.vn</t>
  </si>
  <si>
    <t>JOCO-D-26-00641</t>
  </si>
  <si>
    <t>User-Intent Dynamics in Structured Latent Spaces for Sequential Recommendation</t>
  </si>
  <si>
    <t>Nguyen Thi Kim Yen (Can Tho University); Cong Tran An (Can Tho University); Huynh Hiep (Can Tho University)</t>
  </si>
  <si>
    <t>Sound Event Classification Using Joint Collaborative Dictionary Learning with Collaborative Representation</t>
  </si>
  <si>
    <t>Yen Kim Nguyen Thi</t>
  </si>
  <si>
    <t>Không có trên Meteor</t>
  </si>
  <si>
    <t>Can Tho University</t>
  </si>
  <si>
    <t>ntkyen@ctu.edu.vn</t>
  </si>
  <si>
    <t>JOCO-D-26-00664</t>
  </si>
  <si>
    <t>MOMA: Preference-Conditioned Multi-Objective and Multi-Action Reinforcement Learning for Sustainable Heterogeneous HPC Scheduling</t>
  </si>
  <si>
    <t>NGUYỄN PHÚC NHÂN (High Performance Computing Laboratory, Ho Chi Minh City University of Technology, Vietnam National University Ho Chi Minh City); Bui Ngoc Minh (Ho Chi Minh City University of Technology, VNU-HCM); Nguyen Tran Phuong Mai (Ho Chi Minh City of Technology, VNU-HCM); HOÀNG LÊ HẢI THANH (Ho Chi Minh City University of Technology, Vietnam National University Ho Chi Minh City); Thoai Nam (Ho Chi Minh City University of Technology, Vietnam National University Ho Chi Minh City)</t>
  </si>
  <si>
    <t>Nhan Nguyen</t>
  </si>
  <si>
    <t>Ho Chi Minh City University of Technology - VNUHCM</t>
  </si>
  <si>
    <t>nhan.nguyen2005phuyen@hcmut.edu.vn</t>
  </si>
  <si>
    <t>ViSciMMKG-VQA: Multimodal Knowledge Graph Reasoning for Vietnamese Scientific Visual Question Answering</t>
  </si>
  <si>
    <t>Hai Nguyen Minh (Faculty of Information Technology, Ho Chi Minh City University of Education, Ho Chi Minh City, Vietnam); Pham Van Dang (Ho Chi Minh City University of Industry and Trade); Anh Tran Hoang Tu</t>
  </si>
  <si>
    <t>ANH TRAN HOANG TU</t>
  </si>
  <si>
    <t>Ho Chi Minh City University of Education</t>
  </si>
  <si>
    <t>anhtht.khmt036@pg.hcmue.edu.vn</t>
  </si>
  <si>
    <t>FlowLangGraphAgent: A Neuro-Symbolic LangGraph Agent for Algorithmic Flowchart Visual Question Answering</t>
  </si>
  <si>
    <t>Hai Nguyen Minh (Faculty of Information Technology, Ho Chi Minh City University of Education, Ho Chi Minh City, Vietnam); Khoa Huynh Duy (Faculty of Information Technology, Ho Chi Minh City University of Education, Ho Chi Minh City, Vietnam); Pham Van Dang (Ho Chi Minh City University of Industry and Trade)</t>
  </si>
  <si>
    <t>Khoa Huynh</t>
  </si>
  <si>
    <t>Ho Chi Minh City University of Education, Ho Chi Minh City, Vietnam.</t>
  </si>
  <si>
    <t>khoahd.khmt036@pg.hcmue.edu.vn</t>
  </si>
  <si>
    <t>A hybrid GraphRAG framework with temporal metadata modeling and multi-signal retrieval</t>
  </si>
  <si>
    <t>AI-TECH Workshop - bài này bị cho nhầm sang Par I</t>
  </si>
  <si>
    <t>Do Minh Phuc (Ho Chi Minh City University of Technology (HCMUT), VNU-HCM); Le Thanh Van (Ho Chi Minh City University of Technology (HCMUT), VNU-HCM)</t>
  </si>
  <si>
    <t>Minh-Phuc Do</t>
  </si>
  <si>
    <t>mphuc1510@gmail.com</t>
  </si>
  <si>
    <t>Energy-Calibrated Knowledge Tracing: Formulation and an Empirical Reliability Assessment</t>
  </si>
  <si>
    <t>AI-TECH Workshop (chưa up camera ready)</t>
  </si>
  <si>
    <t>Bich Thi Tran Lan; Ninh Duy Khanh; Nguyen Thi Bich Ngan; Huynh Hiep (Can Tho University)</t>
  </si>
  <si>
    <t>Lan Bich Thi Tran</t>
  </si>
  <si>
    <t>Hau Giang Community College</t>
  </si>
  <si>
    <t>ttblan@hgcc.edu.vn</t>
  </si>
  <si>
    <t>Cô Lê</t>
  </si>
  <si>
    <t>ZK-VJEPA: Veriable Visual World Models with STARK Proofs on Starknet</t>
  </si>
  <si>
    <t>Hoang Vo Nhan (Kien Giang University); Ninh Duy Khanh; Huynh Hiep (Can Tho University)</t>
  </si>
  <si>
    <t>Nhan Hoang Vo</t>
  </si>
  <si>
    <t xml:space="preserve">Speaker </t>
  </si>
  <si>
    <t>Kien Giang University</t>
  </si>
  <si>
    <t>vhnhan@vnkgu.edu.vn</t>
  </si>
  <si>
    <t>Integrating Behavioral Customers and Data on Social Networks for Personalized Real Estate Decision Support</t>
  </si>
  <si>
    <t>Applied Network Science</t>
  </si>
  <si>
    <t xml:space="preserve">Accepted </t>
  </si>
  <si>
    <t>Sang Vu</t>
  </si>
  <si>
    <t>University of Information Technology - VNU-HCM</t>
  </si>
  <si>
    <t>sangvm@uit.edu.vn</t>
  </si>
  <si>
    <t xml:space="preserve">Prof My </t>
  </si>
  <si>
    <t>Dynamic Fair Division with Disruptions: A Simple Algorithm is Approximately Optimal</t>
  </si>
  <si>
    <t>Chen, C., Li, B., Sun, A.</t>
  </si>
  <si>
    <t>Prof ...</t>
  </si>
  <si>
    <t>JOCO</t>
  </si>
  <si>
    <t>Major revision</t>
  </si>
  <si>
    <t>Thu Hiep</t>
  </si>
  <si>
    <t>University of Information Technology, VNU-HCM</t>
  </si>
  <si>
    <t>250101085@grad.uit.edu.vn</t>
  </si>
  <si>
    <t>Cường</t>
  </si>
  <si>
    <t>done</t>
  </si>
  <si>
    <t>Phong T.D. Nguyen</t>
  </si>
  <si>
    <t>RLab, Faculty of Computer Science, Phenikaa School of Computing, Phenikaa University, Hanoi, Vietnam</t>
  </si>
  <si>
    <t>tuanphong.studybox@gmail.com</t>
  </si>
  <si>
    <t>Socio-Technical and Regulatory Drivers of Account Compromise Activity Originating from Vietnam</t>
  </si>
  <si>
    <t>Tran Thi Tu Uyen</t>
  </si>
  <si>
    <t>Phenikaa University</t>
  </si>
  <si>
    <t>tranuyenhvan@gmail.com</t>
  </si>
  <si>
    <t>CENDON, L.</t>
  </si>
  <si>
    <t>Desk Rejected</t>
  </si>
  <si>
    <t>1</t>
  </si>
  <si>
    <t>submit a full thesis, not a paper</t>
  </si>
  <si>
    <t>Withdrawn</t>
  </si>
  <si>
    <t>MGAST-SLR: Motion-Gated Adaptive Spatio-Temporal Graph Networks for Isolated Sign Language Recognition</t>
  </si>
  <si>
    <t>Nguyen, T., Phan Tran, M.</t>
  </si>
  <si>
    <t>x</t>
  </si>
  <si>
    <t>Hyperparameter-Optimized Quantization-Aware training-based machine learning model compression for microcontrollers</t>
  </si>
  <si>
    <t>Pham Trung Dung</t>
  </si>
  <si>
    <t>Phenikaa University, Hanoi, Vietnam</t>
  </si>
  <si>
    <t>dung.phamtrung@phenikaa-uni.edu.vn</t>
  </si>
  <si>
    <t>Võ Minh, C., Nguyen Duc, L., Nguyen, T., Tran, T., Le, T., Pham Nguyen, M.</t>
  </si>
  <si>
    <t>Regular</t>
  </si>
  <si>
    <t>Nguyen Tinh (Ho Chi Minh City Open University); Phan Tran Minh Khue (Ho Chi Minh City University of Technology)</t>
  </si>
  <si>
    <t>Graph-Integrity Risks in Deployed ONNX Models: A Weight-Free Backdoor via Topology Injection</t>
  </si>
  <si>
    <t>Nguyen, K., Ho, P., Nguyen, Q.</t>
  </si>
  <si>
    <t>Minh Khue Phan Tran</t>
  </si>
  <si>
    <t>Short Paper</t>
  </si>
  <si>
    <t>Ho Chi Minh City University of Technology</t>
  </si>
  <si>
    <t>khueptm@hcmut.edu.vn</t>
  </si>
  <si>
    <t>Võ Minh Chánh; Nguyen Duc Long; Nguyen Thai Son; Tran Trinh; Le Trong Nhan (Ho Chi Minh University of Technology); Pham Nguyen Minh Tai</t>
  </si>
  <si>
    <t>Pham Nguyen Minh Tai</t>
  </si>
  <si>
    <t>Graduate School of Informatics, Osaka Metropolitan University</t>
  </si>
  <si>
    <t>Robust Wrist Fracture Detection Algorithm: Integrating Local Binary Patterns and Stochastic Noise Regularization</t>
  </si>
  <si>
    <t>si26890a@st.omu.ac.jp</t>
  </si>
  <si>
    <t>Nguyen Dinh, V., Nguyen Cong, H.</t>
  </si>
  <si>
    <t>HGSA-GCN: Hierarchical Graph with Spectral-Spatial Adaptive Propagation for Hyperspectral Image Classification</t>
  </si>
  <si>
    <t>Tinh Nguyen</t>
  </si>
  <si>
    <t>Ho Chi Minh City Open University</t>
  </si>
  <si>
    <t>tinhnnguyen23122004@gmail.com</t>
  </si>
  <si>
    <t>A Data-Centric Framework for Detecting and Correcting Corrupted Labels</t>
  </si>
  <si>
    <t>Nguyen, H., Nguyen, H., La, M., Nguyen, T., Nguyen, S., Vo, H.</t>
  </si>
  <si>
    <t>Nguyen Ha-Linh (VNU University of Engineering and Technology); Nguyen Hong-Anh; La Minh-Duc; Nguyen Trang; Nguyen Son; Vo Hieu-Dinh</t>
  </si>
  <si>
    <t>Ha-Linh Nguyen</t>
  </si>
  <si>
    <t>VNU University of Engineering and Technology</t>
  </si>
  <si>
    <t>22024505@vnu.edu.vn</t>
  </si>
  <si>
    <t>Bridging the Knowing-Doing Gap: Need-Aware Skill Retrieval for LLM Agents</t>
  </si>
  <si>
    <t>Thoai Thoai (Ho Chi Minh City University of Technology); Nguyễn Quốc Minh (Ho Chi Minh City University of Technology)</t>
  </si>
  <si>
    <t>Gia-Thoại Trần-Lê</t>
  </si>
  <si>
    <t>Ho Chi Minh City University of Technology - Vietnam National University</t>
  </si>
  <si>
    <t>thoai.trantlgt2610@hcmut.edu.vn</t>
  </si>
  <si>
    <t>Thoai, T., Nguyễn, Q.</t>
  </si>
  <si>
    <t>Chen Cheng; Li Bo (The Hong Kong Polytechnic University); Sun Ankang (Shandong University)</t>
  </si>
  <si>
    <t>Bo Li</t>
  </si>
  <si>
    <t>The Hong Kong Polytechnic University</t>
  </si>
  <si>
    <t>comp-bo.li@polyu.edu.hk</t>
  </si>
  <si>
    <t>Secure Offloading in UAV Relay-Aided IoT Networks with Backscatter Communication and NOMA</t>
  </si>
  <si>
    <t>Nguyen, A., Bui, N., Huynh, Q.</t>
  </si>
  <si>
    <t>Nguyen Anh-Nhat (FPT University); Ngoc Anh Bui (FPT University); Huynh Quyet-Thang (Hanoi University of Science and Technology)</t>
  </si>
  <si>
    <t>Ngoc-Anh Bui</t>
  </si>
  <si>
    <t>anhbn5@fe.edu.vn</t>
  </si>
  <si>
    <t>Combining Motif-based Representation and XGBoost for Time Series Classification</t>
  </si>
  <si>
    <t>Relaxed Distance Decoding with Second-Nearest Ambiguity Filtering for split-FISH</t>
  </si>
  <si>
    <t>Dao Duc Tu (PTIT)</t>
  </si>
  <si>
    <t>Tu Dao</t>
  </si>
  <si>
    <t>Posts and Telecommunications Institute of Technology</t>
  </si>
  <si>
    <t>Nguyễn Nhựt, T., Dương Tuấn, A., Chau, V.</t>
  </si>
  <si>
    <t>tudd@ptit.edu.vn</t>
  </si>
  <si>
    <t>Representative Market-State Stock Selection</t>
  </si>
  <si>
    <t>Pham Vinh (Ho Chi Minh University of Technology); Luong Thi Hong Cam (Saigon University)</t>
  </si>
  <si>
    <t>Thi Hong Cam Luong</t>
  </si>
  <si>
    <t>Faculty of Mathematics and Applications, Saigon University, Ho Chi Minh City</t>
  </si>
  <si>
    <t>PFH-YOLO: Parameter-Free and Hierarchical Feature Fusion YOLO for Robust Plant Disease Classification</t>
  </si>
  <si>
    <t>lthcam@sgu.edu.vn</t>
  </si>
  <si>
    <t>Trinh Duc, T., Huu Tran, N., Nguyen Dinh, V.</t>
  </si>
  <si>
    <t>SB-GRPO: Semantic-Balanced GRPO for Enhanced LLM Reasoning</t>
  </si>
  <si>
    <t>Nguyen Dinh Bang (Ho Chi Minh City University of Technology, Vietnam National University Ho Chi Minh City); TRẦN ĐĂNG BẢO (Ho Chi Minh City University of Technology, Vietnam National University Ho Chi Minh City); Nguyễn Quốc Minh (Ho Chi Minh City University of Technology)</t>
  </si>
  <si>
    <t>Dao, D.</t>
  </si>
  <si>
    <t>Đinh Bằng Nguyễn</t>
  </si>
  <si>
    <t>bang.nguyendinh@hcmut.edu.vn</t>
  </si>
  <si>
    <t>ViEC: A Pilot Benchmark for Vietnamese E-commerce Intent Detection</t>
  </si>
  <si>
    <t>Le Hoang Thien Phu (University of Information Technology); Ngo Thi Hong Ly (University of Information Technology); Nguyễn Huỳnh Minh Huy (University of Information Technology); Nguyễn Minh Nhựt (University of Information Technology); Thuan Nguyen Dinh (University of Information Technology)</t>
  </si>
  <si>
    <t>Phu Le Hoang Thien</t>
  </si>
  <si>
    <t>University of Information Technology</t>
  </si>
  <si>
    <t>22521099@gm.uit.edu.vn</t>
  </si>
  <si>
    <t>Who Said It Before Matters: Reputational Epistemic Bias in Misinformation Detection</t>
  </si>
  <si>
    <t>Hajek Petr (University of Pardubice); Munk Michal; Munková Daša; Chrastina Tomas (University of Pardubice)</t>
  </si>
  <si>
    <t>Pham, V., Luong, T.</t>
  </si>
  <si>
    <t>Petr Hajek</t>
  </si>
  <si>
    <t>University of Pardubice</t>
  </si>
  <si>
    <t>petr.hajek@upce.cz</t>
  </si>
  <si>
    <t>[Track C] Experimental improvements for Yolov11n</t>
  </si>
  <si>
    <t>Agentic Retrieval Is Not Always Better: A Study with Qwen3-4B on Vietnamese Legal QA</t>
  </si>
  <si>
    <t>Thy Ly (IVS Joint Stock Company); Vo Anh Nguyen (IVS Joint Stock Company); Nguyen Sy Duc (IVS Joint Stock Company); Nguyen Le Quang (IVS Joint Stock Company)</t>
  </si>
  <si>
    <t>Anh Khoa, Đ., Anh, V.</t>
  </si>
  <si>
    <t>Thy Ly</t>
  </si>
  <si>
    <t>Công ty Cổ phần IVS</t>
  </si>
  <si>
    <t>lathy.1305@indivisys.jp</t>
  </si>
  <si>
    <t>AADI: Anomaly-aware scouting strategy for reducing memory footprint</t>
  </si>
  <si>
    <t>DƯƠNG VŨ HƯNG (IVS Joint Stock Company); Vo Anh Nguyen (IVS Joint Stock Company); Lê Quang Khải (IVS Joint Stock Company); Nguyen Le Quang (IVS Joint Stock Company)</t>
  </si>
  <si>
    <t>Vu Hung Duong</t>
  </si>
  <si>
    <t>Công ty cổ phần IVS</t>
  </si>
  <si>
    <t>dvhung.1331@indivisys.jp</t>
  </si>
  <si>
    <t>Nguyen Dinh, B., Tran Dang, B., Nguyễn, Q.</t>
  </si>
  <si>
    <t>VieCCE: An LLM and Knowledge Graph-Based Approach for Traceable Compliance Cost Estimation from Vietnamese Legal Regulations</t>
  </si>
  <si>
    <t>Nguyen Thi Hoa Hue (School of Information and Communications Technology, Hanoi University Of Industry); Nguyen Hoang Huy (Faculty of Mathematics and Informatics, Hanoi University of Science and Technology); Nguyen Thi Ngoc Anh (Faculty of Mathematics and Informatics, Hanoi University of Science and Technology)</t>
  </si>
  <si>
    <t>Thi Hoa Hue Nguyen</t>
  </si>
  <si>
    <t>Hanoi University of Industry</t>
  </si>
  <si>
    <t>huenth@haui.edu.vn</t>
  </si>
  <si>
    <t>A Dynamic Multi-Tier Framework for Real-Time Cross-Lingual Fake News Detection in Low-Resource Languages</t>
  </si>
  <si>
    <t>Knowledge Discovery in Estuarine Salinity: A Physics-Informed Spectral-Temporal Optimization Framework (PI-STOF) for MSTL</t>
  </si>
  <si>
    <t>D. Nguyen Khang (University of Technology (HCMUT), VNU-HCM); Nguyen - An Khuong (University of Technology (HCMUT), VNU-HCM)</t>
  </si>
  <si>
    <t>Cái, L., Nguyen, K., Nguyễn Minh, N., Thuan, N.</t>
  </si>
  <si>
    <t>Khang Nguyen Duy</t>
  </si>
  <si>
    <t>nakhuong@hcmut.edu.vn</t>
  </si>
  <si>
    <t>Inference Gap Mitigation in Deep Fiducial Marker Pipelines through Jitter - Resilient Regression and Attention-Guided Decoding</t>
  </si>
  <si>
    <t>LÝ TRẦN TÂN (Ho Chi Minh City University of Technology); Quach Kien Long (Ho Chi Minh City University of Technology); Le Quoc Binh (Ho Chi Minh City University of Technology); Le Nguyen Nhat Minh (Ho Chi Minh City University of Technology); Nguyen Tuan Khoi (Ho Chi Minh City University of Technology - VNU)</t>
  </si>
  <si>
    <t>Tran Tan Ly</t>
  </si>
  <si>
    <t>Ho Chi Minh University of Technology (HCMUT)</t>
  </si>
  <si>
    <t>tan.lytran@hcmut.edu.vn</t>
  </si>
  <si>
    <t>A Privacy-Preserving Multi-Agent Framework for Secure Financial Data Analytics in Banking Systems</t>
  </si>
  <si>
    <t>Trần, U., Le, V., Bui, D.</t>
  </si>
  <si>
    <t>TransICD: Transformer-based Inconsistency-aware Co-Attention for Clickbait Detection</t>
  </si>
  <si>
    <t>Anh Doan Tran Cao; Dai Nguyen Phuoc; Nguyễn Minh Ý; Huynh Ly Tan Khoa; Hao Luu Van Nhat; Khai Tran Thien (Ho Chi Minh City University of Industry and Trade)</t>
  </si>
  <si>
    <t>Doan Tran Cao Anh</t>
  </si>
  <si>
    <t>2045230005@hufi.edu.vn</t>
  </si>
  <si>
    <t>Parameter-Efficient Continual Fine-Tuning for Vision–Language Models on Image–Text Retrieval</t>
  </si>
  <si>
    <t>Cao, U., Tran, T.</t>
  </si>
  <si>
    <t>An Efficient MaxSAT-DDD Approach for Train Rescheduling via Precedence Propagation and Hybrid AMO Encodings</t>
  </si>
  <si>
    <t>Van Kieu Tuyen (Vietnam National University of Engineering and Technology); Nguyen Tan Huu (Vietnam National University of Engineering and Technology, Hanoi, Vietnam); Van To Khanh (VNU University of Engineering and Technology)</t>
  </si>
  <si>
    <t>Tan Huu Nguyen</t>
  </si>
  <si>
    <t>22028102@vnu.edu.vn</t>
  </si>
  <si>
    <t>Representative and Informative Memory Replay for Continual Learning in AutoML-Generated Neural Networks</t>
  </si>
  <si>
    <t>Le, H., Ngo, T., Nguyễn Huỳnh Minh, H., Nguyễn Minh, N., Thuan, N.</t>
  </si>
  <si>
    <t>Hoang Thanh-Vinh; Nguyen Tuan-Anh; Nguyen Tien-Vu; Nguyen Hoang-Viet; Nguyen Dang-Giap; Le Duc-Luu; Nguyen Trung-Hieu; Nguyen Trang; Nguyen Son; Vo Hieu-Dinh</t>
  </si>
  <si>
    <t>Vinh Hoàng</t>
  </si>
  <si>
    <t>Faculty of Information Technology, VNU University of Engineering and Technology, Hanoi, Vietnam</t>
  </si>
  <si>
    <t>23020174@vnu.edu.vn</t>
  </si>
  <si>
    <t>A Two-Phase NASNetMobile-Transformer Pipeline for Weakly Supervised Video Anomaly Detection and Fine-Grained Anomaly Classification</t>
  </si>
  <si>
    <t>Lam Nguyen Phat (University of Information Technology); Pham Huy Hung (University of Information Technology); Nguyen Thi Hai Ha (University of Information Technology); Nguyen Thi Thanh Hieu (University of Information Technology); Nguyễn Minh Nhựt (University of Information Technology); Thuan Nguyen Dinh (University of Information Technology)</t>
  </si>
  <si>
    <t>Nguyen Phat Lam</t>
  </si>
  <si>
    <t>24521296@gm.uit.edu.vn</t>
  </si>
  <si>
    <t>Curriculum-Aware Sub-Center Angular Margin Loss with Memory Bank for Vietnamese Speaker Verification</t>
  </si>
  <si>
    <t>Văn Nhã (Viettel Cyber Security); Quốc Phú Nguyễn (Viettel Cyber Security); Dinh Ngoc Tuyen; Lau Minh Tuan (Viettel Cyber Security); Tong Duy Tan (Viettel Cyber Security); Bui Quoc Bao (Viettel Cyber Security); Nguyen Thuy Hang (Viettel Cyber Security); Nguyen Phi Le (Hanoi University of Science and Technology)</t>
  </si>
  <si>
    <t>TRAN VAN NHA</t>
  </si>
  <si>
    <t>VIETTEL CYBER SECURITY</t>
  </si>
  <si>
    <t>nha001204029160@gmail.com</t>
  </si>
  <si>
    <t>B-Sentry: A Hybrid Graph-Embedding and Datalog Early-Warning System for Cross-Chain Bridge Monitoring</t>
  </si>
  <si>
    <t>Tran Tuan-Dung; Nguyen Huu-Canh; Tran Hong-Quan; Nguyen-Bui Kim-Ngan; Nghi Hoang Khoa; Pham Van-Hau</t>
  </si>
  <si>
    <t>Hajek, P., Munk, M., Munková, D., Chrastina, T.</t>
  </si>
  <si>
    <t>Huu-Canh Nguyen</t>
  </si>
  <si>
    <t>University of Information Technology, Vietnam National University Ho Chi Minh City, Vietnam</t>
  </si>
  <si>
    <t>23520166@gm.uit.edu.vn</t>
  </si>
  <si>
    <t>Invited more</t>
  </si>
  <si>
    <t>SAID: Speaker-Invariant Adversarial Identity Disentanglement for Robust Low-Resource Speaker Verification</t>
  </si>
  <si>
    <t>Quốc Phú Nguyễn (Viettel Cyber Security); Văn Nhã (Viettel Cyber Security); Lau Minh Tuan (Viettel Cyber Security); Dinh Ngoc Tuyen; Đinh Công Thái (Viettel Cyber Security); Do Quoc An (Viettel Cyber Security); Bui Quoc Bao (Viettel Cyber Security); Nguyen Thuy Hang (Viettel Cyber Security); Nguyen Phi Le (Hanoi University of Science and Technology)</t>
  </si>
  <si>
    <t>NGUYEN QUOC PHU</t>
  </si>
  <si>
    <t>Ly Anh, T., Vo Anh, N., Nguyen, S., Nguyen, L.</t>
  </si>
  <si>
    <t>Viettel Cyber Security</t>
  </si>
  <si>
    <t>guofu2004@gmail.com</t>
  </si>
  <si>
    <t>AWARD-FL: An Anomaly-Weighted Blockchain Framework for Robust Decentralized Federated Learning</t>
  </si>
  <si>
    <t>Hiển Vinh; Nguyen Thi Ai Thao (Ho Chi Minh City University of Technology (HCMUT), VNU-HCM); Phan Trong Nhan (Ho Chi Minh City University of Technology (HCMUT), VNU-HCMUT)</t>
  </si>
  <si>
    <t>Vinh Hien Do</t>
  </si>
  <si>
    <t>HCMC University of Technology</t>
  </si>
  <si>
    <t>hien.dokhmt@hcmut.edu.vn</t>
  </si>
  <si>
    <t>Duong Vu, H., Vo Anh, N., Le Quang, K., Nguyen, L.</t>
  </si>
  <si>
    <t>Explainable Compact Neural Network for Wrist-Based Fall Detection and Direction Recognition with UCI Feature Pruning</t>
  </si>
  <si>
    <t>Dang-Nhu Phuoc (Ho Chi Minh University of Technology, VNU-HCM); Nguyen-Khanh Loi (Ho Chi Minh City University of Technology, VNU-HCM)</t>
  </si>
  <si>
    <t>Phuoc Dang-Nhu</t>
  </si>
  <si>
    <t>phuoc.dang2104@hcmut.edu.vn</t>
  </si>
  <si>
    <t>Nguyen, T., Nguyen, H., Nguyen Thi Ngoc, A.</t>
  </si>
  <si>
    <t>An Adaptive Hybrid ALNS-HGS Metaheuristic for the Capacitated Vehicle Routing Problem</t>
  </si>
  <si>
    <t>Nguyen Uyen (Faculty of Information Technology); Dong Nguyen D. H. (Institute of Engineering and Technology); Doan Hoang T. (Institute of Engineering and Technology)</t>
  </si>
  <si>
    <t>Uyen Nguyen</t>
  </si>
  <si>
    <t>Nguyễn Duy, K., Nguyen - An, K.</t>
  </si>
  <si>
    <t>Vinh University</t>
  </si>
  <si>
    <t>uyennt@vinhuni.edu.vn</t>
  </si>
  <si>
    <t>Source-Obligation-Guided Validation of LLM-Based Code Translation</t>
  </si>
  <si>
    <t>Mai Duc Thuan (Ho Chi Minh University of Technology); MINH HIẾU (Ho Chi Minh City University of Technology, VNU-HCM); Nguyen Phung Trung Nguyen (Ho Chi Minh City University of Technology); Le Xuan-Bach</t>
  </si>
  <si>
    <t>Thuan Mai Duc</t>
  </si>
  <si>
    <t>Ho Chi Minh University of Technology</t>
  </si>
  <si>
    <t>thuan.maiduc2411@hcmut.edu.vn</t>
  </si>
  <si>
    <t>Photometric-consistent 4D Gaussian Splatting for Multimodal Sensor Alignment in Dynamic Multi-Person Scenes</t>
  </si>
  <si>
    <t>TRẦN MINH, H., Nguyen, N., Nguyen-Bui, M., BÙI ĐĂNG, K., Nguyen, T., Tran, T., Ngo, H., Nguyen, T.</t>
  </si>
  <si>
    <t>AIREX-NET: 3D PULMONARY AIRWAY TREE SEGMENTATION FROM CT IMAGES</t>
  </si>
  <si>
    <t>NGUYỄN VĂN TIẾN; Nguyen Thai Hoai Nam; Nguyễn Minh Thái; Baldacci Fabien; Quan Tho (Ho Chi Minh City University of Technology (HCMUT), VNU-HCM)</t>
  </si>
  <si>
    <t>Van Tien Nguyen</t>
  </si>
  <si>
    <t>Faculty of Computer Science and Engineering, Ho Chi Minh City University of Technology (HCMUT), Vietnam; Vietnam National University Ho Chi Minh City, Vietnam.</t>
  </si>
  <si>
    <t>tien.nguyenvan@hcmut.edu.vn</t>
  </si>
  <si>
    <t>Ly Tran, T., Quach Kien, L., Le Quoc, B., Le Nguyen Nhat, M., Nguyen, T.</t>
  </si>
  <si>
    <t>SHDFL - A Secure Hierarchy Decentralized Federated Learning Refining Convergence With Label-Balanced Clusters</t>
  </si>
  <si>
    <t>Le Toan (Ho Chi Minh City University of Technology (HCMUT), VNU-HCMUT); Le Thanh (Ho Chi Minh City University of Technology (HCMUT), VNU-HCMUT); Lê Ngọc Thiện (Ho Chi Minh City University of Technology (HCMUT), VNU-HCMUT); Le Thu (Ho Chi Minh City University of Technology (HCMUT), VNU-HCMUT); Phan Trong Nhan (Ho Chi Minh City University of Technology (HCMUT), VNU-HCMUT)</t>
  </si>
  <si>
    <t>Duc Toan Le</t>
  </si>
  <si>
    <t>toan.le3008biot@hcmut.edu.vn</t>
  </si>
  <si>
    <t>Anh, D., Dai, N., Nguyễn Minh, Ý., Huynh, L., Hao, L., Khai Tran, T.</t>
  </si>
  <si>
    <t>Le Hoang Khanh Vinh (University of Technology (HCMUT), VNU-HCM, Ho Chi Minh City, Vietnam.); Kieu Tam Hau (University of Technology (HCMUT), VNU-HCM, Ho Chi Minh City, Vietnam.); Tra Hong Tai (University of Technology (HCMUT), VNU-HCM, Ho Chi Minh City, Vietnam.); TRAN TUAN ANH (Ho Chi Minh City University of Technology (HCMUT), VNU-HCM); MAI XUÂN TOÀN (University of Technology (HCMUT), VNU-HCM, Ho Chi Minh City, Vietnam.)</t>
  </si>
  <si>
    <t>Hoang Khanh Vinh Le</t>
  </si>
  <si>
    <t>University of Technology (HCMUT), VNU-HCM, Ho Chi Minh City, Vietnam.</t>
  </si>
  <si>
    <t>vinh.lekhanhvinh@hcmut.edu.vn</t>
  </si>
  <si>
    <t>A Federated Benchmark for Multimodal Emotion Recognition under Speaker-Level Data Heterogeneity</t>
  </si>
  <si>
    <t>Nguyen Thu Ky (FPT University); Le Nhat Khanh (FPT University); Nguyen Minh Nhut (FPT University); Le Ngoc-Khoa (FPT University); Dang Duc Ngoc Minh (FPT University)</t>
  </si>
  <si>
    <t>Thu Ky Nguyễn</t>
  </si>
  <si>
    <t>kyntse203407@fpt.edu.vn</t>
  </si>
  <si>
    <t>Kieu, T., Nguyen, T., Van To, K.</t>
  </si>
  <si>
    <t>Optimizing Technical Knowledge Retrieval: The JR-Sara Framework for Multimodal Agentic RAG in Railway Operations</t>
  </si>
  <si>
    <t>Nguyen Thai Duong (AI4LIFE, Hanoi University of Science and Technology); Hoang Bao Huy (AI4LIFE, Hanoi University of Science and Technology); Ibaraki Miku; Nguyen Phi Le (Hanoi University of Science and Technology)</t>
  </si>
  <si>
    <t>Thai Duong Nguyen</t>
  </si>
  <si>
    <t>HUST</t>
  </si>
  <si>
    <t>ntduong.hatinh@gmail.com</t>
  </si>
  <si>
    <t>Hoang, T., Nguyen, T., Nguyen, T., Nguyen, H., Nguyen, D., Le, D., Nguyen, T., Nguyen, T., Nguyen, S., Vo, H.</t>
  </si>
  <si>
    <t>Quantifying Psychological Factors in Professional Tennis: A Data-Driven Analysis of Streakiness, Choking, and Gameplay Evolution</t>
  </si>
  <si>
    <t>Completion-Aware Cross-Environment Evaluation of a Python MSCKF Visual-Inertial Odometry System</t>
  </si>
  <si>
    <t>Hoang Minh (FPT University, Swinburne Vietnam); Doan Trung Tan (FPT University, Swinburne Vietnam); Nguyen Hoang Trong (FPT University, Swinburne Vietnam)</t>
  </si>
  <si>
    <t>Nguyen, T., Pham, Q., HUỲNH VỸ, Q., Nguyen, H., Tran, Q., Ngo, H., Nguyen, T.</t>
  </si>
  <si>
    <t>Minh Anh Hoang</t>
  </si>
  <si>
    <t>FPT University, Swinburne Vietnam, Ho Chi Minh City</t>
  </si>
  <si>
    <t>minhha10@fe.edu.vn</t>
  </si>
  <si>
    <t>Lam, N., Pham, H., Nguyen, T., Nguyen, T., Nguyễn Minh, N., Thuan, N.</t>
  </si>
  <si>
    <t>Towards Trustworthy Automated Physical Education Assessment: A Computer Vision System with Face Recognition and Anti-Cheating</t>
  </si>
  <si>
    <t>Manh Quang Do; Quan Luu Minh; Cuong Phan Dai; Hoang Chu Huy; Phuc Luu Hoang; Anh Hoang Viet; Vu Viet-Thang; Dang Trong Hop</t>
  </si>
  <si>
    <t>DO MANH QUANG</t>
  </si>
  <si>
    <t>quang.do@haui.edu.vn</t>
  </si>
  <si>
    <t>A Hybrid CNN–ViT Encoder with ARM Fusion-Coverage Decoding and Staged Training for Printed Mathematical Expression Recognition</t>
  </si>
  <si>
    <t>Nguyen Tan Huy (Ho Chi Minh University of technology (HCMUT)); Tran Gia Huy (Ho Chi Minh University of technology (HCMUT)); Tra Hong Tai (University of Technology (HCMUT), VNU-HCM, Ho Chi Minh City, Vietnam.); MAI XUÂN TOÀN (University of Technology (HCMUT), VNU-HCM, Ho Chi Minh City, Vietnam.); TRAN TUAN ANH (Ho Chi Minh City University of Technology (HCMUT), VNU-HCM)</t>
  </si>
  <si>
    <t>Tan Huy Nguyen</t>
  </si>
  <si>
    <t>Faculty of Computer Science &amp; Engineering, University of Technology (HCMUT), Hochiminh National University</t>
  </si>
  <si>
    <t>trtanh@hcmut.edu.vn</t>
  </si>
  <si>
    <t>A Framework for Real-Time Cryptocurrency Analytics and Prediction</t>
  </si>
  <si>
    <t>E2ESoTrack: End-to-end Soccer Tracking and Refinement Architecture for Accurate 2D Soccer Match Reconstruction from Broadcast Videos</t>
  </si>
  <si>
    <t>Phạm, Đ., Huynh, H., Nguyen, B.</t>
  </si>
  <si>
    <t>Phạm Thị Hồng Hạnh (University of Information Technology - VNUHCM); Nguyen Phuong Nam (University of Information Technology - VNUHCM); Dương Việt Hằng</t>
  </si>
  <si>
    <t>Phuong Nam Nguyen</t>
  </si>
  <si>
    <t>23520980@gm.uit.edu.vn</t>
  </si>
  <si>
    <t>Văn, N., Quốc Phú, 3., Dinh Ngoc, T., Lau Minh, T., Tong, D., Bui Quoc, B., Nguyen, T., Nguyen, P.</t>
  </si>
  <si>
    <t>PITaSFS: Physics-Informed Taxonomy and Stability-Guided Feature Selection for Cross-Domain Wind Turbine Blade Fault Diagnosis</t>
  </si>
  <si>
    <t>Bui Manh Quan; Son Nguyen Thanh; Trung Nguyen Van; Wang Jia-Ching</t>
  </si>
  <si>
    <t>Manh Quan Bui</t>
  </si>
  <si>
    <t>A Robust Multi-View Markerless Human Pose Reconstruction System Using Confidence-Weighted Triangulation</t>
  </si>
  <si>
    <t>Le, P., Nguyen, T.</t>
  </si>
  <si>
    <t>HCMC University of Technology and Engineering</t>
  </si>
  <si>
    <t>quanbm@hcmute.edu.vn</t>
  </si>
  <si>
    <t>QA-KAN: Quality-Aware Kolmogorov-Arnold Network Score Calibration for Cross-Corpus Vietnamese Speaker Verification</t>
  </si>
  <si>
    <t>Lau Minh, T., Quốc Phú, 3., Văn, N., Dinh Ngoc, T., Dinh Cong, T., Do Quoc, A., Bui Quoc, B., Nguyen, T., Nguyen, P.</t>
  </si>
  <si>
    <t>DOVE: A Transcript-Bound EVM-Native Protocol for Privacy-Preserving Diploma Verification</t>
  </si>
  <si>
    <t>Duong Anh-Vu (University of Information Technology, Vietnam National University Ho Chi Minh City); Chau Duc-Manh (University of Information Technology, Vietnam National University Ho Chi Minh City); Vo Khoa (University of Information Technology, Vietnam National University Ho Chi Minh City); Nguyen Thu (University of Information Technology, Vietnam National University,Ho Chi Minh City); Tu Anh Nguyen Hoang (University of Information Technology, Vietnam National University Ho Chi Minh City)</t>
  </si>
  <si>
    <t>Tran, T., Nguyen, H., Tran, H., Nguyen-Bui, K., Nghi Hoang, K., Pham, V.</t>
  </si>
  <si>
    <t>Quốc Phú, 3., Văn, N., Lau Minh, T., Dinh Ngoc, T., Dinh Cong, T., Do Quoc, A., Bui Quoc, B., Nguyen, T., Nguyen, P.</t>
  </si>
  <si>
    <t>Anh-Vu Duong</t>
  </si>
  <si>
    <t>University of Information Technology, Vietnam National University Ho Chi Minh City</t>
  </si>
  <si>
    <t>22521688@gm.uit.edu.vn</t>
  </si>
  <si>
    <t>AuStar: A Boundary-Aware Data Science Framework for Robust Vitamin D Deficiency Prediction from Routine Clinical Test Results</t>
  </si>
  <si>
    <t>Nguyen Loc (University of Information Technology, Vietnam National University, Ho Chi Minh City, Vietnam); Pham Duy (University of Information Technology, Vietnam National University, Ho Chi Minh City, Vietnam); Nguyen Thu (University of Information Technology, Vietnam National University,Ho Chi Minh City); Vo Khoa (University of Information Technology, Vietnam National University Ho Chi Minh City); Ta Thu-Thuy (University of Information Technology, Vietnam National University, Ho Chi Minh City, Vietnam); Nguyen Phuc (University of Economics and Law, Vietnam National University, Ho Chi Minh City, Vietnam); Tu Anh Nguyen Hoang (University of Information Technology, Vietnam National University Ho Chi Minh City)</t>
  </si>
  <si>
    <t>Loc Nguyen</t>
  </si>
  <si>
    <t>22520792@gm.uit.edu.vn</t>
  </si>
  <si>
    <t>Deterministic Logical Ordering for Cross-Shard Transaction Fairness in Sharded Blockchains</t>
  </si>
  <si>
    <t>DAP-SGP: Dynamic Adaptive Differential Privacy for Decentralized Federated Learning via Variance-Reduced Stochastic Gradient Push</t>
  </si>
  <si>
    <t>Tran, T., Do, D., Ly, T., Nghi Hoang, K., Nguyen-Bui, K.</t>
  </si>
  <si>
    <t>Tran San (Ho Chi Minh City University of Technology (HCMUT)); Nguyen Thi Ai Thao (Ho Chi Minh City University of Technology (HCMUT), VNU-HCM)</t>
  </si>
  <si>
    <t>San Tran</t>
  </si>
  <si>
    <t>Ho Chi Minh City University of Technology (HCMUT)</t>
  </si>
  <si>
    <t>tqsan.sdh241@hcmut.edu.vn</t>
  </si>
  <si>
    <t>From Whispers to Boards: Comparing Spatial Gossip and Public Reputation in LLM Agent Societies</t>
  </si>
  <si>
    <t>Enhancing the performance of multimodal chronic respiratory disease detection via transfer learning with data augmentation techniques</t>
  </si>
  <si>
    <t>Tran, T., BÙI ĐĂNG, K., Ngo, H., Nguyen, T.</t>
  </si>
  <si>
    <t>Nguyen Tan Dat (Ho Chi Minh City University of Technology - VNU-HCMC); Pham Tu (Ho Chi Minh City University of Technology - VNU-HCMC); Tran Chuyen Chinh (Ho Chi Minh City University of Technology -VNU-HCMC, Faculty of Computer Science and Engineering); Hanjaya Surya (State University of Surabaya)</t>
  </si>
  <si>
    <t>VN-MultiXR A Fusion-Based Multimodal Deep Learning Framework for X-Ray Diagnosis and Vietnamese Report Generation</t>
  </si>
  <si>
    <t>Do, H., Nguyen, T., Phan, T.</t>
  </si>
  <si>
    <t>Thai Thi Thanh Nga; Đỗ Duy Thanh; Thuan Nguyen Dinh (University of Information Technology)</t>
  </si>
  <si>
    <t>Nga Thai Thi Thanh</t>
  </si>
  <si>
    <t>ngattt.19@grad.uit.edu.vn</t>
  </si>
  <si>
    <t>MSS-YOLO: Multi-Scale Semantic and Attention-Guided Feature Enhancement for Tiny Object Detection</t>
  </si>
  <si>
    <t>Hoang Trung-Nguyen (FPT University); Le Ngoc Duy; Tran Ly-Minh-Hoang; Phan Thi-Thu-Hong (FPT University Da Nang)</t>
  </si>
  <si>
    <t>Trung Nguyen Hoang</t>
  </si>
  <si>
    <t>AIT laboratory, Faculty of Artificial Intelligence, FPT University</t>
  </si>
  <si>
    <t>de180300hoangtrungnguyen@gmail.com</t>
  </si>
  <si>
    <t>Comparative Evaluation of Feature-Trajectory and Pose-Based Methods for Multi-Camera Video Synchronization</t>
  </si>
  <si>
    <t>Bui, K., Nguyen Ho Quang, K., Le, M., Nguyen, D., Hoang, M., Nguyen, T.</t>
  </si>
  <si>
    <t>Temporal Fusion Transformer for Intraday Stock Log-Return Prediction</t>
  </si>
  <si>
    <t>Huynh Nam (VNU-HCM University of Science); Huynh Khoa; Thi Minh Tuyen Nguyen (VNUHCM–University of Science)</t>
  </si>
  <si>
    <t>Nam Huỳnh</t>
  </si>
  <si>
    <t>Faculty of Information Technology, University of Science, Ho Chi Minh City, Vietnam. Vietnam National University, Ho Chi Minh City, Vietnam.</t>
  </si>
  <si>
    <t>hnnam22@apcs.fitus.edu.vn</t>
  </si>
  <si>
    <t>Dang-Nhu, P., Nguyen-Khanh, L.</t>
  </si>
  <si>
    <t>A Comparative Study of Metaheuristic Optimization Algorithms for Joint Task Offloading and Resource Allocation in Mobile Edge Computing Systems</t>
  </si>
  <si>
    <t>Le Van Hoa (School of Hospitality &amp; Tourism - Hue University); Pham Trong Nguyen (University of Sciences, Hue University); Pham Trung Duc; Vo Viet Minh Nhat (Department of Academic and Students’ Affairs - Hue University)</t>
  </si>
  <si>
    <t>TRONG NGUYEN PHAM</t>
  </si>
  <si>
    <t>University of Sciences, Hue University, Hue City, Viet Nam</t>
  </si>
  <si>
    <t>ptnguyen.dhkh25@hueuni.edu.vn</t>
  </si>
  <si>
    <t>Topological Control of Online Misinformation</t>
  </si>
  <si>
    <t>Kim Anh, V.</t>
  </si>
  <si>
    <t>A Tiered MLOps Serving Platform for AI Sentiment Monitoring on Resource-Constrained Kubernetes Clusters</t>
  </si>
  <si>
    <t>Cao-Cao-Nguyen Trinh (University of Information Technology, VNU-HCM); Nguyễn Xuân Hiếu (University of Information Technology, VNU-HCM); Le-Anh Tuan; Nguyen-Van Bao (University of Information Technology, VNU-HCM); Le Trung Quan (University of Information Technology, VNU-HCM)</t>
  </si>
  <si>
    <t>Trinh Cao-Cao-Nguyen</t>
  </si>
  <si>
    <t>Small Object Detection in Traffic Images</t>
  </si>
  <si>
    <t>23521659@gm.uit.edu.vn</t>
  </si>
  <si>
    <t>Tung, B.</t>
  </si>
  <si>
    <t>A Leakage-Guarded Multi-Layered Framework for Comprehensive Blockchain-Enabled Federated Split Learning Security</t>
  </si>
  <si>
    <t>Hoang Truong Huynh Phuc (Ho Chi Minh City University of Technology (HCMUT), VNU-HCM); Nguyen Thi Ai Thao (Ho Chi Minh City University of Technology (HCMUT), VNU-HCM)</t>
  </si>
  <si>
    <t>Phuc Hoang Truong Huynh</t>
  </si>
  <si>
    <t>Ho Chi Minh University of Technology, VNU-HCM</t>
  </si>
  <si>
    <t>hthphuc.sdh241@hcmut.edu.vn</t>
  </si>
  <si>
    <t>Nguyen, U., Dong, N., Doan, H.</t>
  </si>
  <si>
    <t>Network-Aware Post-Timetabling Examination Room Allocation with Screened-Pool Repair</t>
  </si>
  <si>
    <t>MINH HIẾU (Ho Chi Minh City University of Technology, VNU-HCM); Nguyen Phung Trung Nguyen (Ho Chi Minh City University of Technology); Mai Duc Thuan (Ho Chi Minh University of Technology); Nguyen Ngoc Khanh Tran (University of Science, Viet Nam National University Ho Chi Minh City); Le Xuan-Bach</t>
  </si>
  <si>
    <t>Hieu Minh Le</t>
  </si>
  <si>
    <t>hieu.lehieulhks@hcmut.edu.vn</t>
  </si>
  <si>
    <t>CARL-Room: Community-Aware Reinforcement Learning for Student Roommate Allocation under Constraints</t>
  </si>
  <si>
    <t>Pham Nguyen Huy Phuong (Ho Chi Minh City University of Industry and Trade); Bui C. Danh; Pham Van Canh (Phenikaa School of Computing); Phước Tôn Long (IUH); Tai Thanh Tuan (Ho Chi Minh City University of Industry and Trade)</t>
  </si>
  <si>
    <t>Pham Nguyen Huy Phuong</t>
  </si>
  <si>
    <t>Ho Chi Minh City University of Industry and Trade</t>
  </si>
  <si>
    <t>phuongpnh@huit.edu.vn</t>
  </si>
  <si>
    <t>Mai Duc, T., Le, X., MINH, H., Nguyen, P.</t>
  </si>
  <si>
    <t>MDP-Guided Reinforcement Learning forCost-Aware LLM-Based Test Generation</t>
  </si>
  <si>
    <t>Nguyen Phung Trung Nguyen (Ho Chi Minh City University of Technology); MINH HIẾU (Ho Chi Minh City University of Technology, VNU-HCM); Mai Duc Thuan (Ho Chi Minh University of Technology); Nguyen Ngoc Khanh Tran (University of Science, Viet Nam National University Ho Chi Minh City); Le Xuan-Bach</t>
  </si>
  <si>
    <t>Phung Trung Nguyen Nguyen</t>
  </si>
  <si>
    <t>nguyen.nguyen938@hcmut.edu.vn</t>
  </si>
  <si>
    <t>Binary Integer Programming Formulations for Blood Type Consistency in Family Records</t>
  </si>
  <si>
    <t>Bui Quoc-Trung; Nguyen Thi-Le-Trang (MayA School)</t>
  </si>
  <si>
    <t>Quoc-Trung BUI</t>
  </si>
  <si>
    <t>Hanoi University of Science and Technology</t>
  </si>
  <si>
    <t>trungbq@soict.hust.edu.vn</t>
  </si>
  <si>
    <t>NGUYỄN VĂN, T., Nguyen, T., Nguyễn Minh, T., Baldacci, F., Quan, T.</t>
  </si>
  <si>
    <t>Individual- and Population-Based Approaches for the Bi-Objective Soft Rectangle Packing Problem</t>
  </si>
  <si>
    <t>buiquoctrung@gmail.com</t>
  </si>
  <si>
    <t>Le, T., Le, T., Lê Ngọc, T., Le, T., Phan, T.</t>
  </si>
  <si>
    <t>Counterfactual Validation of the Polarization Index as a Diagnostic for Decision-Critical States in Cooperative Multi-Agent Reinforcement Learning</t>
  </si>
  <si>
    <t>Hoang Van Anh; Phạm Tuấn Anh (Ho Chi Minh City University of Technology); Bourgoin Enzo (CY Tech)</t>
  </si>
  <si>
    <t>Tuan Anh Pham</t>
  </si>
  <si>
    <t>Faculty of Computer Science and Engineering, Ho Chi Minh City University of Technology (HCMUT)</t>
  </si>
  <si>
    <t>anh.pham14122006@hcmut.edu.vn</t>
  </si>
  <si>
    <t>LLR-GRPO: Latent and Length Regularized GRPO for Advanced Mathematical Reasoning</t>
  </si>
  <si>
    <t>Phan Đức Nhã (Ho Chi Minh City University of Technology); Nguyễn Quốc Minh (Ho Chi Minh City University of Technology)</t>
  </si>
  <si>
    <t>Đức Nhã Phan</t>
  </si>
  <si>
    <t>nha.phannhanha213@hcmut.edu.vn</t>
  </si>
  <si>
    <t>Semantic Edge Enrichment with Large Language Models for Improved Inter-Community Conflict Prediction in Reddit</t>
  </si>
  <si>
    <t>Thắng Hà Việt (FPT University)</t>
  </si>
  <si>
    <t>Ha Viet Thang</t>
  </si>
  <si>
    <t>SynapShard: A Trustless, AI-Driven Dynamic Sharding Architecture for Blockchain Networks</t>
  </si>
  <si>
    <t>Customer: TRUONG DAI HOC FPT; Tax ID: 0102100740; Address: Khu GD va DT, Khu CNC Hoa Lac, Km 29, Dai lo Thang Long, xa Hoa Lac, TP Ha noi, Vietnam</t>
  </si>
  <si>
    <t>havietthang@acm.org</t>
  </si>
  <si>
    <t>Weighted Causal Guide Learning for Dengue Forecasting</t>
  </si>
  <si>
    <t>Do Thanh Duy; Thuan Nguyen Dinh (University of Information Technology); McLoone Seán; Jurek Anna (Queen's University Belfast); Bai Lu (Queen's University Belfast)</t>
  </si>
  <si>
    <t>Thanh Duy Do</t>
  </si>
  <si>
    <t>Tran, T., Tran, H., Bui, P.</t>
  </si>
  <si>
    <t>Queen's University Belfast</t>
  </si>
  <si>
    <t>Journal</t>
  </si>
  <si>
    <t>tdo03@qub.ac.uk</t>
  </si>
  <si>
    <t>Constrained Beats Autonomous</t>
  </si>
  <si>
    <t>Nguyen Van Tan Phong (University of Science, Vietnam National University Ho Chi Minh City); Quang Vu Lam (University of Science , Vietnam National University Ho Chi Minh City)</t>
  </si>
  <si>
    <t>Phong Nguyen</t>
  </si>
  <si>
    <t>University of Science, Vietnam National University Ho Chi Minh City</t>
  </si>
  <si>
    <r>
      <rPr>
        <color rgb="FF1155CC"/>
        <u/>
      </rPr>
      <t>24C11020@student.hcmus.edu.vn</t>
    </r>
  </si>
  <si>
    <t>TSNE</t>
  </si>
  <si>
    <t>Zero-Trust Digital Search Warrants: A Privacy-Preserving SMPC and zk-SNARK Architecture for Evidence Integrity</t>
  </si>
  <si>
    <t>Cao, H., Nguyen, G.</t>
  </si>
  <si>
    <t>Nguyen, T., Le, N., Nguyen, M., Le, N., Dang, D.</t>
  </si>
  <si>
    <t>Residual-Guided Adaptive Multi-Round Multi-Task Learning for Semantic Communications</t>
  </si>
  <si>
    <t>Dang, H., Vo, P., Nguyen, T., Kieu, T.</t>
  </si>
  <si>
    <t>SUPHRL - A REINFORCEMENT LEARNING SOLUTION FOR UPF AUTOSCALING IN 5G CORE NETWORKS</t>
  </si>
  <si>
    <t>Hoa, L., Dang, C., Vo, V.</t>
  </si>
  <si>
    <t>Graph Neural Networks for Multilayer Threat Propagation Modeling in Cloud Data Platforms</t>
  </si>
  <si>
    <t>Benavidez Domingo (Indiana University of Pennsylvania)</t>
  </si>
  <si>
    <t>Track</t>
  </si>
  <si>
    <t>Domingo Benavidez</t>
  </si>
  <si>
    <t>Workflow Status</t>
  </si>
  <si>
    <t>Nguyen, T., Hoang, B., Nguyen, P., Ibaraki, M.</t>
  </si>
  <si>
    <t>Indiana University of Pennsylvania</t>
  </si>
  <si>
    <t>sqxdc@iup.edu</t>
  </si>
  <si>
    <t>Recommended
 Acceptance</t>
  </si>
  <si>
    <t>Recommended
 Revision</t>
  </si>
  <si>
    <t>Adaptive Gaussian Kolmogorov-Arnold Networks as a Least-Squares Trial Space for A Posteriori Error Control</t>
  </si>
  <si>
    <t>Recommended
 Rejection</t>
  </si>
  <si>
    <t>De Luca Pasquale (University of Naples "Parthenope"); Di Nardo Emanuel (University of Naples "Parthenope"); Quan Tho (Ho Chi Minh City University of Technology (HCMUT), VNU-HCM); Ciaramella Angelo (University of Naples "Parthenope")</t>
  </si>
  <si>
    <t>Emanuel Di Nardo</t>
  </si>
  <si>
    <t>University of Naples Parthenope</t>
  </si>
  <si>
    <t>emanuel.dinardo@uniparthenope.it</t>
  </si>
  <si>
    <t>A Standardized Machine Learning Benchmark for Sequential Prediction of Organic Farming Transition: Evidence from Vietnam</t>
  </si>
  <si>
    <t>Pham Quang-Dung (Vietnam National University of Agriculture); Phan TH Luyen (Vietnam National University of Agriculture)</t>
  </si>
  <si>
    <t>Pham Quang Dung</t>
  </si>
  <si>
    <t>Vietnam National University of Agriculture</t>
  </si>
  <si>
    <t>pqdung@vnua.edu.vn</t>
  </si>
  <si>
    <t>Countering spoofing Micro-Doppler e!ects for Drones and UAVs based on Hodge-Hemoltz decomposition method</t>
  </si>
  <si>
    <t>Consistent Monotone Submodular Maximization under a Knapsack Constraint</t>
  </si>
  <si>
    <t>Le, B., Pham, N., Vo, B.</t>
  </si>
  <si>
    <t>Ha Thi Kim Dung (ORLab, Faculty of Computer Science, Phenikaa School of Computing, Phenikaa University); Tran Thi Tu Uyen; Tran Dinh Nam Son (ORLab &amp; Faculty of Computer Science, Phenikaa School of Computing, Phenikaa University); Nguyen Hai T. (Hanoi-Amsterdam High School for the Gifted)</t>
  </si>
  <si>
    <t>Uyen Tran</t>
  </si>
  <si>
    <t>25900008@st.phenikaa-uni.edu.vn</t>
  </si>
  <si>
    <t>FALCON: Adaptive Federated LoRA via Agent-Guided Selective Sharing</t>
  </si>
  <si>
    <t>Hoang, M., Doan, T., Nguyen, H.</t>
  </si>
  <si>
    <t>Vo Nhat-Tan (Ho Chi Minh City University of Technology, VNU-HCM); Truong Dan-Chi Le (Ho Chi Minh City University of Technology, VNU-HCM); Nguyen Thai Hoai Nam; Khanh Hồ (Ho Chi Minh University of Technology); Nguyen Hieu Hoang Tran (Ho Chi Minh City University of Technology, VNU-HCM); Vo Quynh (Ho Chi Minh City University of Technology, VNU-HCM); Cao Tien-Dung (Tan Tao University); Quan Tho (Ho Chi Minh City University of Technology (HCMUT), VNU-HCM); Nguyen Thai</t>
  </si>
  <si>
    <t>In Review</t>
  </si>
  <si>
    <t>Nhat-Tan Vo</t>
  </si>
  <si>
    <t>Thuy, P.</t>
  </si>
  <si>
    <t>Ho Chi Minh City University of Technology (HCMUT) - Vietnam National University Ho Chi Minh City (VNU-HCM), Ho Chi Minh City, Viet Nam</t>
  </si>
  <si>
    <r>
      <rPr>
        <color rgb="FF1155CC"/>
        <u/>
      </rPr>
      <t>tan.vonhatcse@hcmut.edu.vn</t>
    </r>
  </si>
  <si>
    <t>Seismic Intelligence for Optimization: An Adaptive Earthquake-Inspired Metaheuristic for Scientific Computing and Engineering Design</t>
  </si>
  <si>
    <t>Vo Thanh, H.</t>
  </si>
  <si>
    <t>3</t>
  </si>
  <si>
    <t>EB-RAG: An Energy-Based Retrieval-Augmented Generation</t>
  </si>
  <si>
    <t>Ngo, H., TRUONG, D.</t>
  </si>
  <si>
    <t>Extended Vector Autoregressive Neural Networks for Multivariate Macroeconomic Forecasting</t>
  </si>
  <si>
    <t>Nguyen, D., Son, N., Bui, M.</t>
  </si>
  <si>
    <t>ERC-RAG: An Energy-based Retrieval Clustering for RAG in Vietnamese Economy Chatbots</t>
  </si>
  <si>
    <t>A Multimodal Fusion Study of Deep Learning with Data Imbalance Handling for Mortality Predictions on ICU Patients with Alcohol-related Disorders</t>
  </si>
  <si>
    <t>Nguyen Vu (Ho Chi Minh City University of Technology (HCMUT) - Vietnam National University Ho Chi Minh City (VNU-HCM)); Vo Chau (Ho Chi Minh City University of Technology (HCMUT))</t>
  </si>
  <si>
    <t>Vu Nguyen</t>
  </si>
  <si>
    <t>Ngo, H., NGO, C.</t>
  </si>
  <si>
    <t>ntvu.sdh251@hcmut.edu.vn</t>
  </si>
  <si>
    <t>Test Code Feature Engineering for Cross-Project Refactoring Prediction: An Empirical Study_01072026</t>
  </si>
  <si>
    <t>Towards LLM-Augmented Model-Twin Software Development: An Annotation-Based Domain-Driven Approach</t>
  </si>
  <si>
    <t>Vo Van, L., Nguyen, T., Nang Hung Van, N., Van Nam, H.</t>
  </si>
  <si>
    <t>Nguyen Cong (Hanoi University of Engineering and Technology); Le Duc (Faculty of IT, Swinburne Vietnam, FPT University); Tran Trong Hieu; Le Duc; Nguyen Lam; Tran Hai; Vu Chris</t>
  </si>
  <si>
    <t>Cong Nguyen</t>
  </si>
  <si>
    <t>Swinburne Vietnam, FPT University, Hanoi, Vietnam</t>
  </si>
  <si>
    <t>congnv24@fe.edu.vn</t>
  </si>
  <si>
    <t>Pham, L.</t>
  </si>
  <si>
    <t>A User Cooperative Mobility Method Based on Data Suppression with ACK Retention (DSAR) for Improving TCP-BBR Throughput in Ad Hoc Networks</t>
  </si>
  <si>
    <t>Ito Naoyuki; XIE Jiquan; OBATA Hiroyasu; MURASE TUTOMU (Nagoya University)</t>
  </si>
  <si>
    <t>Manh Quang, D., Hop, D., Quan, L., Cuong, P., Hoang, C., Phuc, L., Anh, H., Vu, V.</t>
  </si>
  <si>
    <t>TUTOMU MURASE</t>
  </si>
  <si>
    <t>NAGOYA UNIVERSITY</t>
  </si>
  <si>
    <t>tom.murase@nagoya-u.jp</t>
  </si>
  <si>
    <t>Chu, H.</t>
  </si>
  <si>
    <t>Effectiveness Conditions of Global Co-occurrence Features in Sequential Recommendation</t>
  </si>
  <si>
    <t>Huynh Cong Huy (Ho Chi Minh City University of Industry and Trade); Khai Tran Thien (Ho Chi Minh City University of Industry and Trade); Tran Minh-Thai (Ho Chi Minh City University of Foreign Languages - Information Technology)</t>
  </si>
  <si>
    <t>Cong Huy Huynh</t>
  </si>
  <si>
    <t>Faculty of Information Technology, Ho Chi Minh City University of Industry and Trade (HUIT), Ho Chi Minh City, Vietnam</t>
  </si>
  <si>
    <t>1001250011@huit.edu.vn</t>
  </si>
  <si>
    <t>Large-Scale GPU-Accelerated Shape-Based Time Series Clustering</t>
  </si>
  <si>
    <t>Le-Thi-Thu, N., Le-Tien, V., Nguyen-Minh, N.</t>
  </si>
  <si>
    <t>Minh Pham Tri; Dương Tuấn Anh (Department of Information Technology, Ho Chi Minh City University of Foreign Languages and Information Technology); Chau Vo Thi Ngoc (Ho Chi Minh City University of Technology (HCMUT), Vietnam National University Ho Chi Minh City (VNU-HCM))</t>
  </si>
  <si>
    <t>Tri Minh Pham</t>
  </si>
  <si>
    <t>Faculty of Computer Science and Engineering, Ho Chi Minh City University of Technology(HCMUT),Vietnam National University Ho Chi Minh City (VNU-HCM), Ho Chi Minh City, Vietnam</t>
  </si>
  <si>
    <t>tri.phamhpc@hcmut.edu.vn</t>
  </si>
  <si>
    <t>Dinh, T., Dương Việt, H.</t>
  </si>
  <si>
    <t>Predicting TikTok Viral Score from Public Video Snapshots: A Controlled Study of Metadata, Caption–Hashtag, and Creator Signals</t>
  </si>
  <si>
    <t>Bridging Multimodal Content and Behavioral Signals for Next Best Action Recommendation</t>
  </si>
  <si>
    <t>PHẠM TRẦN ĐĂNG KHOA; Dang Minh Khang; Le Ha Nguyen Khanh; Le Thanh Van (Ho Chi Minh City University of Technology (HCMUT), VNU-HCM)</t>
  </si>
  <si>
    <t>Ha Nguyen Khanh Le</t>
  </si>
  <si>
    <t>Le-Thi-Thu, N., THÀNH, T., Le-Thi-Ngoc, B., Do-Phuc-Vu, H., Doan-Hoang-Thien, P., Tran-Quoc, K.</t>
  </si>
  <si>
    <t>khanh.lehai709@hcmut.edu.vn</t>
  </si>
  <si>
    <t>GateSPINE: Gated Cross-View Fusion for Lumbar Spine MRI Report Generation</t>
  </si>
  <si>
    <t>A Multi-Objective Evolutionary Approach for Thesis Committee and Reviewer Assignment in Undergraduate and Capstone Projects</t>
  </si>
  <si>
    <t>Mai Xuan Trang (Phenikaa University); Nguyen Van Hoang (Phenikaa University); Vuong Tuan Cuong (Phenikaa University); tran bien (Phenikaa University); Tran Van Nam (Phenikaa University Hospital); Luong Thien Van (National Economics University)</t>
  </si>
  <si>
    <t>To, Q., Le, N., Nguyen, H., Nguyen, T., Quan, T.</t>
  </si>
  <si>
    <t>Hoang Nguyen Van</t>
  </si>
  <si>
    <t>Applied AI Lab, Phenikaa University</t>
  </si>
  <si>
    <t>Le, T.</t>
  </si>
  <si>
    <t>23010101@st.phenikaa-uni.edu.vn</t>
  </si>
  <si>
    <t>Component-Level Ablation of Dynamic Retrieval-Augmented Generation for English--Vietnamese Literary Translation</t>
  </si>
  <si>
    <t>VERA: A Scalable Zero-Shot Framework for Explainable Deepfake Detection in Long-Form Video</t>
  </si>
  <si>
    <t>Nguyen, H., Paderno, P., Vũ Đức, L.</t>
  </si>
  <si>
    <t>Ung Hoàng Long (University of Information Technology, VNU-HCM, Ho Chi Minh City, Vietnam); Dinh Truong Tran Duy (University of Information Technology, VNU-HCM, Ho Chi Minh City, Vietnam); Luu Son (Faculty of Information Science and Engineering, University of Information Technology, Ho Chi Minh City, Vietnam)</t>
  </si>
  <si>
    <t>Son Luu</t>
  </si>
  <si>
    <t>Hoang, H.</t>
  </si>
  <si>
    <t>University of Information Technology, VNU-HCM, Ho Chi Minh City, Vietnam, Ho Chi Minh, Viet Nam</t>
  </si>
  <si>
    <t>sonlt@uit.edu.vn</t>
  </si>
  <si>
    <t>Entropy-Weighted Neighborhood Gradients for Decentralized Federated Learning with Noisy Medical Labels</t>
  </si>
  <si>
    <t>Ngoc, B., Truong, C., Nguyen, V., Khai Tran, T.</t>
  </si>
  <si>
    <t>Nông Thục Khuê (Ho Chi Minh City University of Technology (HCMUT), VNU-HCMUT); VÕ HOÀNG NHẬT KHANG (Mohamed bin Zayed University of Artificial Intelligence); Phan Trong Nhan (Ho Chi Minh City University of Technology (HCMUT), VNU-HCMUT)</t>
  </si>
  <si>
    <t>Thuc Khue Nong</t>
  </si>
  <si>
    <t>khue.nongthuc@hcmut.edu.vn</t>
  </si>
  <si>
    <t>TensorSQL: A Training-Free Multi-Stage Pipeline for Vietnamese Text-to-SQL on Constrained On-Premise Hardware</t>
  </si>
  <si>
    <t>Phú, T., Cao, T., Tran Thi, N., Ca Ky, H.</t>
  </si>
  <si>
    <t>Lightweight Voice Activity Detection Using Cepstral Features and Local Texture Encoding</t>
  </si>
  <si>
    <t>Predictive Sensitivity and Conditional CAM Stability under Controlled Image Transformations: Evidence from Tomato Leaf Disease Classification</t>
  </si>
  <si>
    <t>Nguyễn Văn, V., Phan, T.</t>
  </si>
  <si>
    <t>Pham Tien Phuc (FPT University, Can Tho Campus); Quan Tho (Ho Chi Minh City University of Technology (HCMUT), VNU-HCM); Nageshwaran Vinoth (University of the Cumberlands); Ngo Trung Tin (Ho Chi Minh City University of Technology (HCMUT), VNU-HCM); Nguyen Huy (Ho Chi Minh City University of Technology (HCMUT), VNU-HCM); Duong Phu Bao (Ho Chi Minh City University of Technology (HCMUT), VNU-HCM); EZEKIEL SOUNDARARAJAN (Indiana University of Pennsylvania)</t>
  </si>
  <si>
    <t>Tien Phuc Pham</t>
  </si>
  <si>
    <t>FPT University, Can Tho, Vietnam</t>
  </si>
  <si>
    <t>Predicting Learner Behavior and Academic Performance in Online Learning Environments Based on Multi-Task Learning</t>
  </si>
  <si>
    <t>phucpt10@fpt.edu.vn</t>
  </si>
  <si>
    <t>Le, T., Vo, C.</t>
  </si>
  <si>
    <t>ESGQA: An Interactive Web Application for Evidence-Grounded and Fact-Checked ESG Question Answering over Vietnamese Banking Reports</t>
  </si>
  <si>
    <t>A Session Graph Model with Continuous Multimodal Relations for Pure Item Cold-Start Recommendation</t>
  </si>
  <si>
    <t>(K18 HL), N., Tran, V.</t>
  </si>
  <si>
    <t>Có thể accept workshop</t>
  </si>
  <si>
    <t>Toan Lam Thanh (Cantho University of Technology); TRAN NGUYEN Minh Thu</t>
  </si>
  <si>
    <t>Toan Lam-Thanh</t>
  </si>
  <si>
    <t>Cantho University of Technology, Cantho, VietNam</t>
  </si>
  <si>
    <t>lttoan@ctuet.edu.vn</t>
  </si>
  <si>
    <t>AccLabel: Static Analysis-Guided LLM Generation of Android Accessibility Labels</t>
  </si>
  <si>
    <t>Vu Duy, P., Huy Bien, N.</t>
  </si>
  <si>
    <t>ViT-enhanced CGAN Heuristics for Sampling-based Path Planning</t>
  </si>
  <si>
    <t>Phan, P., Le, T.</t>
  </si>
  <si>
    <t>Tran Tuan Kiet; Lo Hoang Bao; Truong Quynh Chi; Trang Le Hong (Ho Chi Minh city University of Technology (HCMUT))</t>
  </si>
  <si>
    <t>Tuan Kiet Tran</t>
  </si>
  <si>
    <t>kiet.trantuan2004@hcmut.edu.vn</t>
  </si>
  <si>
    <t>MAI XUÂN, T., Nguyen, T., Tran, G., TRAN, T., Tra, H.</t>
  </si>
  <si>
    <t>Do Minh, P., Le, T.</t>
  </si>
  <si>
    <t>Usefulness of Quantile-Aware Diffusion Modeling for Highly Imbalanced Tabular Data</t>
  </si>
  <si>
    <t>Talha Abu (Indian Institute of Technology Bhilai); Liu Peng; Paul Souradyuti</t>
  </si>
  <si>
    <t>Abu Talha</t>
  </si>
  <si>
    <t>Indian Institute of Technology Bhilai</t>
  </si>
  <si>
    <t>abut@iitbhilai.ac.in</t>
  </si>
  <si>
    <t>Nguyen Thu, V.</t>
  </si>
  <si>
    <t>Parameter-Efficient Adaptation of Segment Anything Model for Fundus Retinal Vessel Segmentation</t>
  </si>
  <si>
    <t>TA Le-Dac-Loc (Faculty of Computer Science and Engineering, Ho Chi Minh City University of Technology (HCMUT), Vietnam National University Ho Chi Minh City (VNU-HCM)); LE Thanh-Sach (Faculty of Computer Science and Engineering, Ho Chi Minh University of Technology (HCMUT), VNU-HCM)</t>
  </si>
  <si>
    <t>Thanh Sach LE</t>
  </si>
  <si>
    <t>Ho Chi Minh City University of Technology (HCMUT), VNU-HCM.</t>
  </si>
  <si>
    <t>Pham, T., Nguyen, P., Dương Việt, H.</t>
  </si>
  <si>
    <t>ltsach@hcmut.edu.vn</t>
  </si>
  <si>
    <t>Tran, L., Ninh, D., Nguyen, T., Huynh, H.</t>
  </si>
  <si>
    <t>UpgradeGuard: Compiler-Grounded Bounded Selective Trace Equivalence for Solidity Upgrades</t>
  </si>
  <si>
    <t>Huỳnh Phan Gia Bảo; Tran Tuan-Dung</t>
  </si>
  <si>
    <t>Bao Huynh</t>
  </si>
  <si>
    <t>University of Information Technology, Vietnam National University, Ho Chi Minh City, Vietnam</t>
  </si>
  <si>
    <t>Performance Analysis of Secure ISCC UAV-enabled Vehicular Networks</t>
  </si>
  <si>
    <t>23520104@gm.uit.edu.vn</t>
  </si>
  <si>
    <t>Ha, D., Dinh, T., Nguyen, K., Truong, T., Hưng, H.</t>
  </si>
  <si>
    <t>CAREGraph: A Context-Aware Graph Method for Traffic Accident Responsibility Classification</t>
  </si>
  <si>
    <t>Hoang Vo, N., Ninh, D., Huynh, H.</t>
  </si>
  <si>
    <t>Hồ Chấn Khoa (Vinh Long University of Technology Education); PHAN Anh-Cang (Vinh Long University of Technology Education); PHAN Thuong-Cang</t>
  </si>
  <si>
    <t>Chan-Khoa HO</t>
  </si>
  <si>
    <t>Vinh Long University of Technology and Engineering</t>
  </si>
  <si>
    <t>khoahc@vlute.edu.vn</t>
  </si>
  <si>
    <t>Query-Aware Age-of-Information Scheduling for Capacity-Constrained LPWAN Sensing Dashboards</t>
  </si>
  <si>
    <t>Understanding the Interaction Between Loss Functions and Deep Learning Architectures Under Class Imbalance</t>
  </si>
  <si>
    <t>Ngo, L.</t>
  </si>
  <si>
    <t>Hoang Phi-Hung (FPT University Da Nang); Phan Thi-Thu-Hong (FPT University Da Nang)</t>
  </si>
  <si>
    <t>Energy-Based Bounding Box Regression with SAM-Guided Supervision</t>
  </si>
  <si>
    <t>Phi-Hung Hoang</t>
  </si>
  <si>
    <t>Dang, D., Nguyen, K., Nguyen, H., Tran, V., Huynh, H.</t>
  </si>
  <si>
    <t>hunghpde180523@fpt.edu.vn</t>
  </si>
  <si>
    <t>SemTGN: A Two-Track Temporal Graph Framework for Simulated Infection-Risk Classification and Role-Conditioned Inductive Contact Prediction</t>
  </si>
  <si>
    <t>An Efficient Human Pose Estimation Framework Using the EfficientNetV2-S Backbone</t>
  </si>
  <si>
    <t>Le Manh Hung (Faculty of Information Technology, Vietnam Aviation Academy); Thinh Tran Ngoc (Ho Chi Minh City University of Technology (HCMUT); Vietnam National University Ho Chi Minh City (VNU-HCM)); Ho Van Lam (Faculty of Information Technology, Quy Nhon University); Long Tan Le (School of Computer Science, The University of Sydney); Nguyen Luong Anh Tuan (Faculty of Information Technology, Vietnam Aviation Academy)</t>
  </si>
  <si>
    <t>Manh Hung Le</t>
  </si>
  <si>
    <t>Tran-Ngoc-Xuan, T., Nguyen-Khanh, L.</t>
  </si>
  <si>
    <t>Dual-Placement Spatiotemporal Adapters for Parameter-Efficient Image-to-Video Transfer</t>
  </si>
  <si>
    <t>Faculty of Information Technology, Vietnam Aviation Academy</t>
  </si>
  <si>
    <t>hunglm@vaa.edu.vn</t>
  </si>
  <si>
    <t>Tran, H.</t>
  </si>
  <si>
    <t>RailPROC : Structure-Aware Procedural Retrieval from Multimodal Railway Manuals</t>
  </si>
  <si>
    <t>Nguyen Son (Amsterdam High School for the Gifted); Tran Le Truong Hai (Amsterdam High School for the Gifted); Kieu Giang Bien (Hanoi University of Science and Technology); Nguyen Van Thai (Hanoi University of Science and Technology); Nguyen Thai Duong (AI4LIFE, Hanoi University of Science and Technology); Hoang Bao Huy (Hanoi University of Science and Technology); Ibaraki Miku</t>
  </si>
  <si>
    <t>Heart Sound Classification Using Multi-Domain Acoustic Features across Different Segmentation Strategies</t>
  </si>
  <si>
    <t>Giang Bien Kieu</t>
  </si>
  <si>
    <t>Dương, T., Thi Anh Thuong, L., TRAN, C., Phan, T.</t>
  </si>
  <si>
    <t>bien.kg235272@sis.hust.edu.vn</t>
  </si>
  <si>
    <t>Nguyen Thi Kim, Y., Tran, C., Huynh, H.</t>
  </si>
  <si>
    <t>SemDrug: A Semantic-Aware Knowledge Graph Retrieval Framework for Inductive Biomedical Relation Prediction</t>
  </si>
  <si>
    <t>A Network and Graph-Relational View of Cross-Scanner Domain Shift in Lumbar Spine MRI</t>
  </si>
  <si>
    <t>Nguyen Minh Quan (University of Engineering and Technology, Vietnam National University); Bui Duc Nhat (University of Engineering and Technology, Vietnam National University); Nguyen Thi-Hau (University of Engineering and Technology, Vietnam National University)</t>
  </si>
  <si>
    <t>Kien, N.</t>
  </si>
  <si>
    <t>A Unified Criterion-Aware Transformer Framework for Automated IELTS Writing Scoring</t>
  </si>
  <si>
    <t>Thi-Hau Nguyen</t>
  </si>
  <si>
    <t>University of Engineering and Technology, Vietnam national University in Hanoi</t>
  </si>
  <si>
    <t>nguyenhau@vnu.edu.vn</t>
  </si>
  <si>
    <t>Le, T., Nguyen, H.</t>
  </si>
  <si>
    <t>BAW: Benign Adversarial Watermarking for Ownership Verification of Machine Learning Malware Detection Model</t>
  </si>
  <si>
    <t>Tran Anh Tu (Hanoi University of Science and Technology); Hoang Thu Phuong; Vu Duy-Hien (NEU)</t>
  </si>
  <si>
    <t>Thu Phuong Hoang</t>
  </si>
  <si>
    <t>Academy of Cryptography Techniques</t>
  </si>
  <si>
    <t>PReFedLearn: Privacy-Preserving for Reinforcement and Federated Learning</t>
  </si>
  <si>
    <t>phuonght@actvn.edu.vn</t>
  </si>
  <si>
    <t>LeaseRAG: Trustworthy Retrieval Augmented Generation for Residential Lease Contracts</t>
  </si>
  <si>
    <t>Nguyen, V., Nguyen, D., Nguyen, T.</t>
  </si>
  <si>
    <t>Le, T., Ngo, L., Phan, N.</t>
  </si>
  <si>
    <t>An Empirical Study of Knowledge Graph Retrieval-Augmented Generation over Vietnamese Enterprise Documents</t>
  </si>
  <si>
    <t>Nguyen Khoa Gia Cat; Le Thanh Van (Ho Chi Minh City University of Technology (HCMUT), VNU-HCM)</t>
  </si>
  <si>
    <t>E-HOVA: Cost-Efficient Auditable Ballot Acceptance for Blockchain-Based E-Voting</t>
  </si>
  <si>
    <t>Khoa-Gia-Cat Nguyen</t>
  </si>
  <si>
    <t>nkgcat.sdh241@hcmut.edu.vn</t>
  </si>
  <si>
    <t>Võ Văn Phi, T., Pham, Q., Vo, K., Nguyen, T., Tu Anh, N.</t>
  </si>
  <si>
    <t>NGUYỄN PHÚC, N., Bui Ngoc, M., Nguyen Tran Phuong, M., HOÀNG LÊ HẢI, T., Thoai, N.</t>
  </si>
  <si>
    <t>JR-STAR: A Domain-Specialized Framework for Japanese Railway Speech Translations</t>
  </si>
  <si>
    <t>Dao Xuan Quang Minh (Hanoi University of Science and Technology); Nguyen Phi Le (Hanoi University of Science and Technology); Thi-Mai-Anh Bui (Hanoi University of Science and Technology); Duc Manh Tran; Quoc Bao Bui; Bach Viet Ha (Concordia International School Hanoi); Kyeong Doun Kim (Concordia International School Hanoi); Shinzawa Taichi (West Japanese Railway Company)</t>
  </si>
  <si>
    <t>Quoc Bao Bui</t>
  </si>
  <si>
    <t>bao.buiquoc@hust.edu.vn</t>
  </si>
  <si>
    <t>Quizum: A lightweight End-to-End Pipeline forInstructional-Video Summarization and Quiz Generation</t>
  </si>
  <si>
    <t>SV-Sign: A Multi-View Southern Vietnamese Sign Language Dataset and Edge Deployment Evaluation</t>
  </si>
  <si>
    <t>Nguyễn Bình Nguyên (Ho Chi Minh City University of Technology (HCMUT)); Le Thuy Thuy Hien (Ho Chi Minh City University of Technology (HCMUT)); Huynh Hoang Anh (Ho Chi Minh City University of Technology (HCMUT)); Bùi Minh Quân (Ho Chi Minh City University of Technology (HCMUT)); Le Dang (Japan Advanced Institute of Science and Technology); Quan Tho (Ho Chi Minh City University of Technology (HCMUT), VNU-HCM)</t>
  </si>
  <si>
    <t>Bui, M., Son, N., Trung, N., Wang, J.</t>
  </si>
  <si>
    <t>Hai, N., Cảnh, B.</t>
  </si>
  <si>
    <t>Binh Nguyen Nguyen</t>
  </si>
  <si>
    <t>Accepted (unpaid)</t>
  </si>
  <si>
    <t>Ho Chi Minh City University of Technology (HCMUT), Faculty of Computer Science and Engineering, Ho Chi Minh, Vietnam</t>
  </si>
  <si>
    <t>nguyen.nguyenbinh1509@hcmut.edu.vn</t>
  </si>
  <si>
    <t>An Empirical Study of Semantic Drift and Information Conflation in LLM-Based Multi-Agent Networks: Factual Decay vs. Noise-Filtering</t>
  </si>
  <si>
    <t>Ngoc-Hung Pham (Phenikaa University); Quoc-Hung Pham (Hung Yen University of Technology and Engineering); Thanh-Hang Pham (Phenikaa University)</t>
  </si>
  <si>
    <t>Pham Ngoc Hung</t>
  </si>
  <si>
    <t>Hai, N., Pham, V., Anh, T.</t>
  </si>
  <si>
    <t>hung.phamngoc@phenikaa-uni.edu.vn</t>
  </si>
  <si>
    <t>Reinforcement Learning for Betweenness Centrality Maximization via Graph Structure Modification</t>
  </si>
  <si>
    <t>Hai, N., Khoa, H., Pham, V.</t>
  </si>
  <si>
    <t>Phạm Bá Hiếu (Phenikaa School of Computing); Pham Van Canh (Phenikaa School of Computing); Nguyen Uyen (Faculty of Information Technology)</t>
  </si>
  <si>
    <t>Hieu Ba Pham</t>
  </si>
  <si>
    <t>Phenikaa School of Computing</t>
  </si>
  <si>
    <t>hieupb68@gmail.com</t>
  </si>
  <si>
    <t>Duong, A., Chau, D., Vo, K., Nguyen, T., Tu Anh, N.</t>
  </si>
  <si>
    <t>WISE: Witness Identification and Selection of Evidence for Efficient Multi-Hop Question Answering</t>
  </si>
  <si>
    <t>Effective Multi-Aspect-driven Recommendation with Learnable Multi-Signal Re-Ranking</t>
  </si>
  <si>
    <t>Open for Submission</t>
  </si>
  <si>
    <t>Trần Thái Thịnh, T.</t>
  </si>
  <si>
    <t>Nguyen Quang Manh (Ho Chi Minh City University of Technology (HCMUT), Vietnam National University Ho Chi Minh City (VNU-HCM)); Vo Chau (Ho Chi Minh City University of Technology (HCMUT))</t>
  </si>
  <si>
    <t>Manh Nguyen</t>
  </si>
  <si>
    <t>Ho Chi Minh City University of Technology, Vietnam National University Ho Chi Minh City</t>
  </si>
  <si>
    <t>chauvtn@hcmut.edu.vn</t>
  </si>
  <si>
    <t>An XGBoost based machine learning framework capable of detecting and explaining multilayer errors in VLSI circuits</t>
  </si>
  <si>
    <t>Đỗ Đình, T., TRẦN HOÀNG, L., Do-Nguyen, T., Anh Kha, N., Hồ Ngọc, T., Van An, V., Van Nguyen, T.</t>
  </si>
  <si>
    <t>Towards Cross-Lingual Candidate–Job Matching: A Vietnamese–English Benchmark with Multi-View and Cross-View Modeling</t>
  </si>
  <si>
    <t>PA4H-MARL: Topology-Aware GPU Gang Scheduling via Hierarchical Multi-Agent Graph Reinforcement Learning</t>
  </si>
  <si>
    <t>NGUYỄN QUANG HÙNG (HO CHI MINH CITY UNIVERSITY OF TECHNOLOGY, Vietnam National University Ho Chi Minh); Phan Tran Y Nhi (Faculty of Computer Science and Engineering, University of Technology, VNU-HCM); Thoai Nam (Ho Chi Minh City University of Technology, Vietnam National University Ho Chi Minh City)</t>
  </si>
  <si>
    <t>Quang-Hung Nguyen</t>
  </si>
  <si>
    <t>TabBoot-PreICU: Explainable Deep Learning with Sparse Attentive Feature Selection for Early ICU Admission Prediction</t>
  </si>
  <si>
    <t>Ho Chi Minh City University of Technology, VNU-HCM</t>
  </si>
  <si>
    <t>nqhung@hcmut.edu.vn</t>
  </si>
  <si>
    <t>Duong, T.</t>
  </si>
  <si>
    <t>When Does Adaptive-k Retrieval Require Expansion? Benefit-Aware Depth Control for Vietnamese FAQ Retrieval</t>
  </si>
  <si>
    <t>Thi Khac Quan (Ho Chi Minh City University of Technology, VNU-HCM); TRẦN NGỌC BẢO DUY; Le Binh Dang (Ho Chi Minh city University of Technology, VNU-HCM); Quan Tho (Ho Chi Minh City University of Technology (HCMUT), VNU-HCM)</t>
  </si>
  <si>
    <t>Khac Quan Thi</t>
  </si>
  <si>
    <t>quan.thikhac@hcmut.edu.vn</t>
  </si>
  <si>
    <t>CoTu @ EXACT 2026: Neuro-Symbolic Reasoning for Transparent Educational QA</t>
  </si>
  <si>
    <t>Le, T., Thai, P., (K18 CT), N., (K18 CT), D., Nguyen, T.</t>
  </si>
  <si>
    <t>Exploring Biases in Large Language Models with Island Model Genetic Algorithm</t>
  </si>
  <si>
    <t>Special Session: EXACT Competition</t>
  </si>
  <si>
    <t>Final Submission</t>
  </si>
  <si>
    <t>Nguyen Thai Huy (University of Information Technology, VNUHCM); Phan Quan Minh (University of Information Technology, VNUHCM); Tran Khang (University of Information Technology, VNUHCM); Nguyen Van Bich (University of Information Technology); Mai Tien-Dung (University of Information Technology, VNUHCM); Duy Vo Nguyen Le; Luong Ngoc Hoang (University of Information Technology, VNUHCM)</t>
  </si>
  <si>
    <t>Thai-Huy Nguyen</t>
  </si>
  <si>
    <t>huynt.19@grad.uit.edu.vn</t>
  </si>
  <si>
    <t>TRAN, Q., Nguyen, M., Thai, P., Tung, B., Ma, T., 001348, P.</t>
  </si>
  <si>
    <t>Bridging Mechanisms for Reducing the Eccentricity on the Real Line</t>
  </si>
  <si>
    <t>Lin Jianan; Wang Chenhao (BNU-HKBU United International College); Xiao Han; Yi Fenglin (Beijing Normal University)</t>
  </si>
  <si>
    <t>Fenglin Yi</t>
  </si>
  <si>
    <t>Beijing Normal University-Zhuhai</t>
  </si>
  <si>
    <t>yifengliner@163.com</t>
  </si>
  <si>
    <t>Ha Thi Kim, D., Nguyễn, P.</t>
  </si>
  <si>
    <t>Software-Assisted Row-Stationary Acceleration for CNN Inference on Resource-Constrained Edge IoT Devices</t>
  </si>
  <si>
    <t>First-Order Logic Translation and Program-of-Thought Physics Solving for Explainable Educational Question Answering with Large Language Models</t>
  </si>
  <si>
    <t>Lam Nu Uyen Nhi (Ho Chi Minh City University of Technology (HCMUT)); Vu Duc Lam (Ho Chi Minh City University of Technology (HCMUT)); Thinh Tran Ngoc (Ho Chi Minh City University of Technology (HCMUT); Vietnam National University Ho Chi Minh City (VNU-HCM)); Huynh Phuc-Nghi (The University of Electro-Communications (UEC))</t>
  </si>
  <si>
    <t>Lam Nu Uyen Nhi</t>
  </si>
  <si>
    <t>Dac Luong, N., Bui, S., Trieu Pham, D., Nguyen, Q., Huynh, N., Luu, S.</t>
  </si>
  <si>
    <t>nhilam.lnun@gmail.com</t>
  </si>
  <si>
    <t>SMARL: Shared Multi-Aspect Representation Learning for Multi-Trait Essay Scoring</t>
  </si>
  <si>
    <t>Nguyễn Lộc; Nguyễn Lê Hiểu Văn; Nguyễn Hoàng Việt Thanh; Nguyễn Thanh Hùng</t>
  </si>
  <si>
    <t>Duc Loc Nguyen</t>
  </si>
  <si>
    <t>ngducloc1112002@gmail.com</t>
  </si>
  <si>
    <t>Training-Free Neurosymbolic Execution under Strict Hardware Bounds: A Dual-Engine Framework</t>
  </si>
  <si>
    <t>Bao Vinh, N.</t>
  </si>
  <si>
    <t>A Physics-Informed and Uncertainty-Aware Intelligence Framework for Industrial Cyber-Physical Systems</t>
  </si>
  <si>
    <t>Deo Uday; Singh Anurag (National Institute of Technology Delhi); De Swades (Indian Institute of Technology Delhi); Sharma Ajay K. (National Institute of Technology, Delhi)</t>
  </si>
  <si>
    <t>tran, U., Ha Thi Kim, D., Duong K., L.</t>
  </si>
  <si>
    <t>Uday Deo</t>
  </si>
  <si>
    <t>National Institute of Technology, Delhi</t>
  </si>
  <si>
    <t>udaydeo@nitdelhi.ac.in</t>
  </si>
  <si>
    <t>Bài này thuộc journal track (không rõ journal nào)</t>
  </si>
  <si>
    <t>First Paper</t>
  </si>
  <si>
    <t>Uncertainty-Aware Transformation-Consistent Deepfake Detection Under Video Degradation</t>
  </si>
  <si>
    <t>Chakraborty Bikramaditya (National Institute of Technology Delhi); Singh Anurag (National Institute of Technology Delhi)</t>
  </si>
  <si>
    <t>Dang, M.</t>
  </si>
  <si>
    <t>DocuAI: Hybrid LayoutXLM and Donut Pipeline for Vietnamese Invoice Information Extraction</t>
  </si>
  <si>
    <t>Bikramaditya Chakraborty</t>
  </si>
  <si>
    <t>Le, N., Huynh, K., Nguyen, K., Tran, N., Pham, B., Huynh, D.</t>
  </si>
  <si>
    <t>NIT Delhi</t>
  </si>
  <si>
    <t>bikramaditya@nitdelhi.ac.in</t>
  </si>
  <si>
    <t>TRACE-Edu: Task-Aware Neuro-Symbolic Reasoning for Dual-Track Educational Question Answering</t>
  </si>
  <si>
    <t>Tran, H., Doan, K.</t>
  </si>
  <si>
    <t>TriGuide-HumanSeg: A Lightweight Human Segmentation Framework for Edge Devices</t>
  </si>
  <si>
    <t>A Lattice-Network Stochastic Compartmental Model for Simulating the Spatial Spread of Whitefly-Vectored Plant Virus</t>
  </si>
  <si>
    <t>SHIVANK (National Institute of Technology); Singh Anurag (National Institute of Technology Delhi); Sharma Ajay K. (National Institute of Technology, Delhi); Ghanbarnejad Fakhteh (SRH University of Applied Sciences Heidelberg)</t>
  </si>
  <si>
    <t>Shivank Shivank</t>
  </si>
  <si>
    <t>Le, T., Vinh, V., Pham, H., Pham, D., Pham, L.</t>
  </si>
  <si>
    <t>shivank@nitdelhi.ac.in</t>
  </si>
  <si>
    <t>Dual-Pipeline Consensus for Physics and LogicReasoning with a 4B-Parameter LLM</t>
  </si>
  <si>
    <t>AI-Driven Hydroponic Decision Support with BiGRU Water-Quality Prediction and EfficientNetV2-B0 Crop Verification</t>
  </si>
  <si>
    <t>Truong, B., Do, T., Nguyen, D., Tran, N.</t>
  </si>
  <si>
    <t>Adversarial Vulnerability Assessment of Teacher and Student Models in Knowledge Distillation</t>
  </si>
  <si>
    <t>Shekhar Shashank (Birla Institute of Technology, Mesra – Patna Campus); Singh Anurag (National Institute of Technology Delhi); Sunil Krishna (National Institute of Technology Delhi, New Delhi, India); Cherifi Hocine</t>
  </si>
  <si>
    <t>Anurag Singh</t>
  </si>
  <si>
    <t>(K18 DN), H., Phan, T.</t>
  </si>
  <si>
    <t>National Institute of Technology Delhi, New Delhi, India</t>
  </si>
  <si>
    <t>anuragsg@nitdelhi.ac.in</t>
  </si>
  <si>
    <t>UIT-DSDeTem at EXACT2026: Resource-Aware Hybrid System for Physics Question Answering with Graph-Based Symbolic Solvers and Selective Language-Model Assistance</t>
  </si>
  <si>
    <t>Trần, M., Thiên Bảo, B.</t>
  </si>
  <si>
    <t>An Optimized Lightweight Cryptosystem for Resource-Constrained IoT Devices</t>
  </si>
  <si>
    <t>Short paper</t>
  </si>
  <si>
    <t>Nguyen Khoi (Ho Chi Minh City University of Foreign Languages - Information Technology); Ho Phung (Ho Chi Minh City University of Foreign Languages - Information Technology); Nguyen Quang (Ho Chi Minh City University of Foreign Languages - Information Technology)</t>
  </si>
  <si>
    <t>TRƯƠNG TUẤN, A., Dang, B.</t>
  </si>
  <si>
    <t>Khoi Nguyen</t>
  </si>
  <si>
    <t>Ho Chi Minh City University of Foreign Languages – Information Technology</t>
  </si>
  <si>
    <t>23dh111742@st.huflit.edu.vn</t>
  </si>
  <si>
    <t>A Type-Conditioned Neuro-Symbolic Cascade for Educational Question Answering</t>
  </si>
  <si>
    <t>Nguyễn Quốc, Đ., Trịnh, V., Duong Phan Minh, T., Tran Bieu, H., Tran Minh, T.</t>
  </si>
  <si>
    <t>Rare-Context-Aware Redundancy Reduction for Rarity-Weighted Co-location Pattern Mining</t>
  </si>
  <si>
    <t>Duong, V., Pham, T., Nguyen, V., Pham, X., Tran, V.</t>
  </si>
  <si>
    <t>TRẦN MINH HUY (Ho Chi Minh City University of Technology); Nguyen Nam-Khanh (Ho Chi Minh City University of Technology); Nguyen-Bui Minh-Khoi (Ho Chi Minh City University of Technology); BÙI ĐĂNG KHOA (Ho Chi Minh City University of Technology); Nguyen Trung Kien (Ho Chi Minh City University of Technology); Tran Thanh-Trong (Ho Chi Minh City University of Technology); Ngo Hoang-Anh (The University of Waikato); Nguyen Tuan Khoi (Ho Chi Minh City University of Technology - VNU)</t>
  </si>
  <si>
    <t>Minh Huy Tran</t>
  </si>
  <si>
    <t>huy.tranminh2005@hcmut.edu.vn</t>
  </si>
  <si>
    <t>CAHS: A Context-Aware Hybrid Scheduling Framework for Dynamic Task Scheduling in Cloud of Things</t>
  </si>
  <si>
    <t>Workshop on Information Spread in Social Networks and AI-Based Agent Networks</t>
  </si>
  <si>
    <t>Nguyen, L., Pham, D., Nguyen, T., Vo, K., Ta, T., Nguyen, P., Tu Anh, N.</t>
  </si>
  <si>
    <t>Nguyen, T., Pham-Quoc, C., Võ Thị Hồng, T.</t>
  </si>
  <si>
    <t>Nguyen Dang Minh Truong (Ho Chi Minh city University of Technology - VNU,Department of Computer Science and Engineering); Nguyen Ho Quang Khai (Ho Chi Minh City University of Technology - VNU); Bui Khanh An (Ho Chi Minh City University of Technology - VNU); Hoang Minh Cam Tu (Ho Chi Minh City University of Technology - VNU); Le Minh Hao (Ho Chi Minh City University of Technology - VNU); Nguyen Tuan Khoi (Ho Chi Minh City University of Technology - VNU)</t>
  </si>
  <si>
    <t>Dang Minh Truong Nguyen</t>
  </si>
  <si>
    <t>minhtruong08052005@gmail.com</t>
  </si>
  <si>
    <t>Agent-based Modeling: Equilibrium, Echo Chambers, and Efficiency in Hybrid Coevolutionary Opinion Games</t>
  </si>
  <si>
    <t>Revision Requested</t>
  </si>
  <si>
    <t>Jiang, M., Teng, A., Liu, J., Chen, P., Li, Y.</t>
  </si>
  <si>
    <t>Kim Anh Võ Thị (Ton Duc Thang University)</t>
  </si>
  <si>
    <t>Thi Kim-Anh Vo</t>
  </si>
  <si>
    <t>VSB - Technical University of Ostrava</t>
  </si>
  <si>
    <t>thi.kim.anh.vo.st@vsb.cz</t>
  </si>
  <si>
    <t>When to Let the Engine Compute: Tool-Augmented Generation for Explainable Educational Question Answering</t>
  </si>
  <si>
    <t>Nguyễn, M., nguyen, Q.</t>
  </si>
  <si>
    <t>Nguyen Huu-Minh-Trang (University of Information Technology, Vietnam National University); Paderno Pavel; Vu Duc-Lung (University of Information Technology, Vietnam National University)</t>
  </si>
  <si>
    <t>Huu Minh Trang Nguyen</t>
  </si>
  <si>
    <t>Tran, S., Nguyen, T.</t>
  </si>
  <si>
    <t>trangnhm.18@grad.uit.edu.vn</t>
  </si>
  <si>
    <t>Beyond Fact Retrieval: Multi-Agent Reasoning and Evaluation for Vietnamese Cultural Heritage QA</t>
  </si>
  <si>
    <t>Tan, T., TRAN, Q., Thai-Nghe, N., Do, T.</t>
  </si>
  <si>
    <t>Le Trung (Ho Chi Minh City University of Technology (HCMUT)); Vo Chau (Ho Chi Minh City University of Technology (HCMUT))</t>
  </si>
  <si>
    <t>Trung Le</t>
  </si>
  <si>
    <t>chauvtn2024@gmail.com</t>
  </si>
  <si>
    <t>Enhanced Buffered Asynchronous Secure Aggregation with Byzantine Resilience for Cross-device Federated Learning</t>
  </si>
  <si>
    <t>Nguyen, Q., Nguyen, T., Phan, T.</t>
  </si>
  <si>
    <t>Dynamics of Interaction Networks of AI Agent and Human Online Forums</t>
  </si>
  <si>
    <t>Ha Dac-Binh (Duy Tan University); Dinh Trung-Tu (Duy Tan University); Nguyen Khac-Huy (Thai Binh Duong University); Truong Truong (Duy Tan University); Hưng Hà Duy (Ton Duc Thang University)</t>
  </si>
  <si>
    <t>Dac-Binh Ha</t>
  </si>
  <si>
    <t>Duy Tan University</t>
  </si>
  <si>
    <t>hadacbinh@duytan.edu.vn</t>
  </si>
  <si>
    <t>Semenov, A., Veremyev, A., Pasiliao, E., Boginski, V.</t>
  </si>
  <si>
    <t>Ngo Luong-Thanh-Tra (FPT University)</t>
  </si>
  <si>
    <t>Luong-Thanh-Tra Ngo</t>
  </si>
  <si>
    <t>Nguyen, T., Pham, T., Tran, C., Hanjaya, S.</t>
  </si>
  <si>
    <t>FPT University, Greenwich Vietnam, Ho Chi Minh Campus, Vietnam</t>
  </si>
  <si>
    <t>Understanding Social Media Engagement in Agriculture: An Instagram-Based Machine Learning Study</t>
  </si>
  <si>
    <t>tranlt2@fpt.edu.vn</t>
  </si>
  <si>
    <t>Accepted (Unpaid)</t>
  </si>
  <si>
    <t>Fernandez, N., Zhen, K., Zheng, Q., Yu, Z., Watson, A., Zhang, Y., Semenov, A.</t>
  </si>
  <si>
    <t>Club-LoRA: Network-Inspired Structured Sparsification of Low-Rank Adapters via Optimal R-Robust 2-Clubs</t>
  </si>
  <si>
    <t>Semenov, A., Khriyenko, O., Veremyev, A., Boginski, V., Pasiliao, E.</t>
  </si>
  <si>
    <t>Nguyen Cao Trung Kien (University of Information Technology, VNU-HCM)</t>
  </si>
  <si>
    <t>Cao Trung Kien Nguyen</t>
  </si>
  <si>
    <t>Thai Thi Thanh, N., Đỗ Duy, T., Thuan, N.</t>
  </si>
  <si>
    <t>kiennct2711.it@gmail.com</t>
  </si>
  <si>
    <t>Le The Anh; Vo Phong Vinh (FPT University); Pham Hoang Thang Nguyen (FPT University); Pham Duy Thai (FPT University); Pham Lenh Phan Cong (FPT Univeristy)</t>
  </si>
  <si>
    <t>Thang Hoang Nguyen Pham</t>
  </si>
  <si>
    <t>thangpnhce181805@fpt.edu.vn</t>
  </si>
  <si>
    <t>Hoang, T., Le Ngoc, D., trần, H., Phan, T.</t>
  </si>
  <si>
    <t>hongptt11@fe.edu.vn</t>
  </si>
  <si>
    <t>Huynh, N., Huynh, K., Thi Minh Tuyen, N.</t>
  </si>
  <si>
    <t>TRƯƠNG TUẤN ANH (Ho Chi Minh City University of Technology - VNU HCM); Dang Bang (Ho Chi Minh City University of Technology - VNU HCM)</t>
  </si>
  <si>
    <t>Anh Truong</t>
  </si>
  <si>
    <t>Ho Chi Minh City University of Technology (HCMUT) - VNU-HCM</t>
  </si>
  <si>
    <t>anhtt@hcmut.edu.vn</t>
  </si>
  <si>
    <t>Nguyen Quang Thuan; Nguyen Thi Ai Thao (Ho Chi Minh City University of Technology (HCMUT), VNU-HCM); Phan Trong Nhan (Ho Chi Minh City University of Technology (HCMUT), VNU-HCMUT)</t>
  </si>
  <si>
    <t>CARED: Class-Conditional Autoregressive Diffusion for Imbalanced ECG Arrhythmia Classification</t>
  </si>
  <si>
    <t>Quang Thuan Nguyen</t>
  </si>
  <si>
    <t>Faculty of Computer Science and Engineering, Ho Chi Minh City University of Technology (HCMUT), VNU-HCM, Vietnam</t>
  </si>
  <si>
    <t>nqthuan97@gmail.com</t>
  </si>
  <si>
    <t>Truong, B., Nguyen, D., Nguyen, T., Vo, K., Ta, T., Nguyen, P., Tu Anh, N.</t>
  </si>
  <si>
    <t>Network-Aware Event Sequence Modeling for User-Behavior and System Log Anomaly Detection</t>
  </si>
  <si>
    <t>Cao Thanh Tien (Faculty of Information Technology, Ho Chi Minh City University of Foreign Languages - Information Technology, Ho Chi Minh City, Vietnam); Trinh Tu Hoang (Faculty of Information Technology, Ho Chi Minh City University of Foreign Languages - Information Technology, Ho Chi Minh City, Vietnam); Tran Ha Manh (Faculty of Information Technology, Ho Chi Minh City University of Foreign Languages - Information Technology, Ho Chi Minh City, Vietnam)</t>
  </si>
  <si>
    <t>Tien Thanh Cao</t>
  </si>
  <si>
    <t>Faculty of Information Technology, Ho Chi Minh City University of Foreign Languages - Information Technology, Ho Chi Minh City, Vietnam</t>
  </si>
  <si>
    <t>thanhct@huflit.edu.vn</t>
  </si>
  <si>
    <t>Modeling and Solving the Short-Message-Service Marketing Allocation Problem</t>
  </si>
  <si>
    <t>Le, V., Pham, T., Pham, T., Vo, V.</t>
  </si>
  <si>
    <t>trung.buiquoc@hust.edu.vn</t>
  </si>
  <si>
    <t>MSCDF: A Multimodal Semantic Consistency Detection Framework for Deepfake Media Using Hierarchical Cross-Modal Attention</t>
  </si>
  <si>
    <t>Singh Arshdeep (Chandigarh University); Shrivastava Dr. Puja (Chandigarh University); Misra Rajani (Chandigarh University)</t>
  </si>
  <si>
    <t>Investigating Optimistic Gradient Learning for Mitigating Limit-Cycle Behavior in Multi-Agent Reinforcement Learning</t>
  </si>
  <si>
    <t>Nguyen Tien Anh (PTIT); Linh Nguyen Kieu (Posts and Telecommunications Institute of Technology); Thi Ngoc Ha Mai (Posts and Telecommunications Institute of Technology)</t>
  </si>
  <si>
    <t>TriFuse-R: Reliability-Aware Multimodal Fusion for Disaster Damage Assessment.</t>
  </si>
  <si>
    <t>Nguyen Kieu Linh
 Ha Mai
 Tien Anh Nguyen</t>
  </si>
  <si>
    <t>Posts and Telecommunications Institute of Technology
 The Posts and Telecommunications Institute of Technology (PTIT) in Hanoi, Vietnam.
 Posts and Telecommunications Institute of Technology</t>
  </si>
  <si>
    <t>linhnk@ptit.edu.vn
 hamtn@ptit.edu.vn
 nguyentienanh1307@gmail.com</t>
  </si>
  <si>
    <t>Võ, T., Xuan Phuong, N., Huynh Ngoc, N., Truong Thanh, X., Thi Minh, T., Tran Dinh, T.</t>
  </si>
  <si>
    <t>A Tiered Selection Framework Integrating Picture Fuzzy Hybrid Models for Hydrological Forecasting: Applications across Diverse River Systems in Vietnam</t>
  </si>
  <si>
    <t>Pham Quang-Dung (Vietnam National University of Agriculture); Nguyen Xuan Thao (Banking Academy Vietnamese); Truong Thi Thuy Duong (Banking Academy Vietnamese)</t>
  </si>
  <si>
    <t>pqdung.hau1@gmail.com</t>
  </si>
  <si>
    <t>A topology-enhanced neuro-fuzzy driven graph embedding fusion under a residual graph transformer with adaptive firing strength for bot classification</t>
  </si>
  <si>
    <t>Pham, P., Loan, N., Pedrycz, W., Vo, B.</t>
  </si>
  <si>
    <t>Benchmarking MLP, CNN+LSTM, and Autoencoder Architectures for Network Intrusion Detection on CICIDS2017</t>
  </si>
  <si>
    <t>Shaw Ethan (Indiana University of Pennsylvania)</t>
  </si>
  <si>
    <t>Ethan Shaw</t>
  </si>
  <si>
    <t>Author</t>
  </si>
  <si>
    <t>ethanjshaw@gmail.com</t>
  </si>
  <si>
    <t>PSO-1D-CNN-DHSD: A Complexity-Aware NAS-HPO Framework for Lightweight 1D-CNNs with Self-Distillation in IoT Intrusion Detection</t>
  </si>
  <si>
    <t>Nguyen Quang Minh (Academy of Cryptography Techniques); Bui Thu Lam; Le Thi Hong Van</t>
  </si>
  <si>
    <t>Minh Nguyen Quang</t>
  </si>
  <si>
    <t>quangminhnguyen1025@gmail.com</t>
  </si>
  <si>
    <t>Cao-Cao-Nguyen, T., Nguyen-Xuan, H., Le-Anh, T., Nguyen-Van, B., Le Trung, Q.</t>
  </si>
  <si>
    <t>Time-Aware and Risk-Aware Electric Vehicle Charging Station Planning via Scenario-Based Global Trajectory Optimization</t>
  </si>
  <si>
    <t>Ha Thi Kim Dung (ORLab, Faculty of Computer Science, Phenikaa School of Computing, Phenikaa University); Nguyễn Phong (ORLab and Faculty of Computer Science Phenikaa School of Computing, Phenikaa University); Nguyen Thai V.; Nguyen Uyen T.; Doan Hoang T. (Institute of Engineering and Technology)</t>
  </si>
  <si>
    <t>ORLab, Faculty of Computer Science, Phenikaa School of Computing, Phenikaa University, Hanoi, Vietnam</t>
  </si>
  <si>
    <t>phong.nguyenductuan@phenikaa-uni.edu.vn</t>
  </si>
  <si>
    <t>Feature-Economical Threat Detection with Confidence-Gated Human Escalation for Cloud-Centric Systems: An Agentic Architecture and a Candid Benchmark</t>
  </si>
  <si>
    <t>Radha Krishnan Niranchana; EZEKIEL SOUNDARARAJAN (Indiana University of Pennsylvania)</t>
  </si>
  <si>
    <t>Learning from Failures: A Failure-Driven Prompt Refinement for LLM-Based Vulnerability Analysis</t>
  </si>
  <si>
    <t>Ghadamian Mandana; Mohaisen David (University of Central Florida)</t>
  </si>
  <si>
    <t>David Mohaisen</t>
  </si>
  <si>
    <t>University of Central Florida</t>
  </si>
  <si>
    <t>Topological Rough Sets for Safe Rejection: Robust Out-of-Distribution Detection in Fine-Grained Intent Classification</t>
  </si>
  <si>
    <t>mohaisen@ucf.edu</t>
  </si>
  <si>
    <t>A Drift-Aware MLOps Framework for Multi-Model Serving: A Network Intrusion Detection Case Study</t>
  </si>
  <si>
    <t>Thầy Thơ</t>
  </si>
  <si>
    <t>Tran-Nguyen-Viet Hoang (University of Information Technology, VNU-HCM); Bui-Ngoc Thai (University of Information Technology, VNU-HCM); Le-Anh Tuan; Nguyen-Van Bao (University of Information Technology, VNU-HCM); Le Trung Quan (University of Information Technology, VNU-HCM)</t>
  </si>
  <si>
    <t>Hoang Tran Nguyen Viet</t>
  </si>
  <si>
    <t>23520541@gm.uit.edu.vn</t>
  </si>
  <si>
    <t>When Unseen Hands Transfer: A Zero-Shot Study of Cross-Embodiment Robotic Grasping</t>
  </si>
  <si>
    <t>Nguyen Dieu Hien (Japan Advanced Institute of Science and Technology); Le Nguyen-Khang; Nguyen Le Minh (Japan Advanced Institute of Science and Technology)</t>
  </si>
  <si>
    <t>Hoang, P., Nguyen, T.</t>
  </si>
  <si>
    <t>Dieu Hien Nguyen</t>
  </si>
  <si>
    <t>Japan Advanced Institute of Science and Technology</t>
  </si>
  <si>
    <t>ndhien@jaist.ac.jp</t>
  </si>
  <si>
    <t>Mixture-of-Experts Models for Question, Answer, and Distractor Generation</t>
  </si>
  <si>
    <t>MINH, H., Le, X., Nguyen, P., Mai Duc, T., Nguyen, N.</t>
  </si>
  <si>
    <t>Withdraw</t>
  </si>
  <si>
    <t>A Keypoint-guided Factorization Approach to Optimal Transport On Incomparable Domains</t>
  </si>
  <si>
    <t>Pham, N., Bui C., D., Pham Van, C., Phước, T., Tai, T.</t>
  </si>
  <si>
    <t>Tran Van-Dang (Hanoi University of Science and Technology, Hanoi, Vietnam); Nguyen Thuy Duong (Hanoi University of Science and Technology); Doan Tung (Hanoi University of Science and Technology)</t>
  </si>
  <si>
    <t>Van-Dang Tran</t>
  </si>
  <si>
    <t>dangtv@soict.hust.edu.vn</t>
  </si>
  <si>
    <t>Does Knowledge Distillation Help a Lightweight IoT Intrusion Detector?</t>
  </si>
  <si>
    <t>Alice: A Multimodal LLM-Powered Personal Assistant for Time Optimization, Health Management, and Voice-Based Note Taking</t>
  </si>
  <si>
    <t>Tran Thi To Quyen (Can Tho University); Lam Khang Nhut; Le Van Lam (Can Tho University)</t>
  </si>
  <si>
    <t>Thi-To-Quyen Tran</t>
  </si>
  <si>
    <t>tttquyen@ctu.edu.vn</t>
  </si>
  <si>
    <t>Ba, K., Nguyen, A., Tran, C., Nguyễn Thiện, N., Nguyen, P., Nguyen, T.</t>
  </si>
  <si>
    <t>A Hardware-Efficient LOB-Free Approximate Multiplier for Error-Tolerant Computing</t>
  </si>
  <si>
    <t>Nguyen-Ly Thien-Truong (Ho Chi Minh City University of Technology (HCMUT) - Vietnam National University Ho Chi Minh City); Banh Ba-Can (Ho Chi Minh City University of Technology (HCMUT) - Vietnam National University Ho Chi Minh City)</t>
  </si>
  <si>
    <t>Profit Maximization for Multi-Topic Diffusion Campaigns in Social Networks via Consistent $k$-Submodular Maximization</t>
  </si>
  <si>
    <t>Ba-Can Banh</t>
  </si>
  <si>
    <t>Ho Chi Minh City University of Technology (HCMUT), Vietnam National University Ho Chi Minh City.</t>
  </si>
  <si>
    <t>bbcan.sdh232@hcmut.edu.vn</t>
  </si>
  <si>
    <t>Tran, U., D. Tran, T.</t>
  </si>
  <si>
    <t>Semantic-Aware Cross-Camera Vehicle Identity Association for Intelligent Parking Surveillance</t>
  </si>
  <si>
    <t>Vinh Luan Lou (FPT University); Ngo Luong-Thanh-Tra (FPT University)</t>
  </si>
  <si>
    <t>tranlt2@fe.edu.vn</t>
  </si>
  <si>
    <t>Stockrium: A Tool for Financial Strategy Experimentation</t>
  </si>
  <si>
    <t>Yes</t>
  </si>
  <si>
    <t>Le Quoc Huy; Nguyen Vinh Khang; Thi Minh Tuyen Nguyen (VNUHCM–University of Science)</t>
  </si>
  <si>
    <t>Quoc Huy Le</t>
  </si>
  <si>
    <t>Faculty of Information Technology, University of Science, Vietnam National University Ho Chi Minh City</t>
  </si>
  <si>
    <t>22125031@student.hcmus.edu.vn</t>
  </si>
  <si>
    <t>CoCoA: Fast and Flexible Popularity Bias Adjustment for Graph-based Personalized Recommendations</t>
  </si>
  <si>
    <t>Yamashita, T., Kaneko, K.</t>
  </si>
  <si>
    <t>EPOBF[S]: Training-Free, Load-Monotone Best-Fit Job Consolidation for Energy-Efficient GPU Clusters at Full Production-Trace Scale</t>
  </si>
  <si>
    <t>NGUYỄN QUANG HÙNG (HO CHI MINH CITY UNIVERSITY OF TECHNOLOGY, Vietnam National University Ho Chi Minh); Thoai Nam (Ho Chi Minh City University of Technology, Vietnam National University Ho Chi Minh City)</t>
  </si>
  <si>
    <t>Ho Chi Minh City University of Technology (HCMUT), Vietnam National University Ho Chi Minh City (VNU-HCM), Vietnam</t>
  </si>
  <si>
    <t>hungnq2@gmail.com</t>
  </si>
  <si>
    <t>Beyond Safety Alignment: A Survey and Reference Architecture for Safety Assurance in Vision-Language-Action Robots</t>
  </si>
  <si>
    <t>Nguyen Hoa-Hung (Ho Chi Minh City University of Technology (HCMUT), VNU-HCM)</t>
  </si>
  <si>
    <t>Calibrated Per-Node Uncertainty for Spectral Community Tracking in Temporal Networks</t>
  </si>
  <si>
    <t>Hoa-Hung Nguyen</t>
  </si>
  <si>
    <t>Le, X., Truong, T., Pham-Quoc, C., Hoang, T.</t>
  </si>
  <si>
    <t>nguyenhoahung@hcmut.edu.vn</t>
  </si>
  <si>
    <t>TRAN Quoc-Khang (Can Tho University); Nguyen Minh-Thien; Thai Phu-An; Tung Bui Xuan (Faculty of Engineering - Technology); Ma Thanh (Can Tho University); 001348 Pham Nguyen Khang (Can Tho University)</t>
  </si>
  <si>
    <t>Quoc-Khang Tran</t>
  </si>
  <si>
    <t>RoPTE: Calibrated Robust Traffic Engineering for Small WANs</t>
  </si>
  <si>
    <t>tqkhang@ctu.edu.vn</t>
  </si>
  <si>
    <t>Le, X.</t>
  </si>
  <si>
    <t>Dac Luong Nguyen (University of Information Technology, Vietnam National University - Ho Chi Minh City); Bui Son Truong Thai; Trieu Pham Duong (University of Information Technology, Vietnam National University - Ho Chi Minh City, Ho Chi Minh, Viet Nam); Nguyen Quang Thien (University of Staffordshire, Stoke-on-Trent, United Kingdom); Huynh Nam Thuyen (University of Technology and Engineering, Ho Chi Minh City, Vietnam); Luu Son (Faculty of Information Science and Engineering, University of Information Technology, Ho Chi Minh City, Vietnam)</t>
  </si>
  <si>
    <t>son.lt1103@gmail.com</t>
  </si>
  <si>
    <t>Signed Triad Hazard: A Survival Model for the Timing of Distrust in Signed Trust Networks</t>
  </si>
  <si>
    <t>Tran Huan (University of Science - VNUHCM); Doan Khoa (University of Science - VNUHCM)</t>
  </si>
  <si>
    <t>Huan Tran</t>
  </si>
  <si>
    <t>Faculty of Information Technology, University of Science – VNUHCM, Ho Chi Minh City</t>
  </si>
  <si>
    <t>tnhuanjuv7@gmail.com</t>
  </si>
  <si>
    <t>Truong Binh Minh (Ho Chi Minh City University of Technology); Do Tien Dung (Ho Chi Minh City University of Technology); Nguyen Do Trung Kien (Ho Chi Minh City University of Technology); Tran Nguyen Bao (Ho Chi Minh City University of Technology)</t>
  </si>
  <si>
    <t>Trần Minh Phát (University of Information Technology - VNUHCM); Thiên Bảo Bùi (University of Information Technology - VNUHCM)</t>
  </si>
  <si>
    <t>Nguyen, P., Le, X., MINH, H., Mai Duc, T., Nguyen, N.</t>
  </si>
  <si>
    <t>Minh Phat Tran</t>
  </si>
  <si>
    <t>University of Information Technology - VNUHCM</t>
  </si>
  <si>
    <t>24521317@gm.uit.edu.vn</t>
  </si>
  <si>
    <t>Nguyen Thanh Binh (University of Finance - Marketing); Pham-Quoc Cuong (Ho Chi Minh City University of Technology (HCMUT)); Võ Thị Hồng Thắm (K.CNTT) (Nguyen Tat Thanh University)</t>
  </si>
  <si>
    <t>Thanh-Binh Nguyen</t>
  </si>
  <si>
    <t>Faculty of Data Science, University of Finance - Marketing (UFM), Vietnam</t>
  </si>
  <si>
    <t>ntbinh@ufm.edu.vn</t>
  </si>
  <si>
    <t>When Structure Is Not Privacy: A Degree-Channel Audit and Regularized Defense for Graph Release</t>
  </si>
  <si>
    <t>Tran Truong, T., Truong, T.</t>
  </si>
  <si>
    <t xml:space="preserve">Journal </t>
  </si>
  <si>
    <t>Nguyễn Minh Chí; nguyen Quoc Dat</t>
  </si>
  <si>
    <t>TNSE</t>
  </si>
  <si>
    <t>From Confused Deputy to Contagion: Information-Flow Control for Prompt-Injection Propagation in Agent Networks</t>
  </si>
  <si>
    <t>Tran Truong, T., Le, X.</t>
  </si>
  <si>
    <t>Jiang Ming-Zhi (National Yang Ming Chiao Tung University); Teng An-Tzu (National Yang Ming Chiao Tung University); Liu Jun-En (National Yang Ming Chiao Tung University); Chen Po-An (National Yang Ming Chiao Tung University); Li Yung-Ming</t>
  </si>
  <si>
    <t>Ming-Zhi Jiang</t>
  </si>
  <si>
    <t>National Yang Ming Chiao Tung University</t>
  </si>
  <si>
    <t>s112701018.mg12@nycu.edu.tw</t>
  </si>
  <si>
    <t>Cao, T., Trinh, T., Tran, H.</t>
  </si>
  <si>
    <t>Tan Tran Minh (Can Tho University); TRAN Quoc-Khang (Can Tho University); Thai-Nghe Nguyen (Can Tho University); Do Thanh-Nghi</t>
  </si>
  <si>
    <t>Minh-Tan Tran</t>
  </si>
  <si>
    <t>tmtan@ctu.edu.vn</t>
  </si>
  <si>
    <t>Bui, Q., Nguyen, T.</t>
  </si>
  <si>
    <t>Semenov Alexander (University of South Florida); Veremyev Alexander (University of Central Florida); Pasiliao Eduardo (AFRL, Munitions Directorate); Boginski Vladimir</t>
  </si>
  <si>
    <t>Alexander Semenov</t>
  </si>
  <si>
    <t>University of South Florida</t>
  </si>
  <si>
    <t>asemenov@usf.edu</t>
  </si>
  <si>
    <t>Semenov Alexander (University of South Florida); Khriyenko Oleksiy (University of Jyväskylä); Veremyev Alexander (University of Central Florida); Boginski Vladimir; Pasiliao Eduardo (AFRL, Munitions Directorate)</t>
  </si>
  <si>
    <t>Oleksiy Khriyenko</t>
  </si>
  <si>
    <t>University of Jyväskylä</t>
  </si>
  <si>
    <t>oleksiy.khriyenko@jyu.fi</t>
  </si>
  <si>
    <t>Hoang, V., Pham, T., Bourgoin, E.</t>
  </si>
  <si>
    <t>Pham, D., D. Tran, T., Pham Van, C.</t>
  </si>
  <si>
    <t>For journal track papers - Active Topological Edge Enhancement inMulti-Modal Neuro-Oncological Image Fusion viaPersistent Cellular Sheaf Laplacians</t>
  </si>
  <si>
    <t>Journal track</t>
  </si>
  <si>
    <t>PQ-SFC: A Post-Quantum Secure Federated Consensus for Decentralized Learning Networks</t>
  </si>
  <si>
    <t>Truong, T., Nguyen Thanh, C., Pham, H.</t>
  </si>
  <si>
    <t>For journal track papers - Unified Geometric and Topological Representations of the Human Meridian System</t>
  </si>
  <si>
    <t>Conversational E-commerce: Synergizing Event-Driven Microservices and Graph-Grounded AI Agents</t>
  </si>
  <si>
    <t>Khanh, H., Đạt, T., Toàn, Q., Nguyễn, C., Tran Nguyen Anh, K., Duchet, K.</t>
  </si>
  <si>
    <t>Method for Cervical Cancer MRI Segmentation based on nnU-Net &amp; Pretrained Dataset</t>
  </si>
  <si>
    <t>Nguyen, S., Ha, T., Le, T.</t>
  </si>
  <si>
    <t>Minimum Weighted Hazard-Exposure Dispatch: Complexity, an Exact Algorithm, and an FPTAS</t>
  </si>
  <si>
    <t>Dang, V., Dinh, M., Vu, V., Nguyen, P.</t>
  </si>
  <si>
    <t>GEN-CIM: Score-Guided Generative Model for Community Influence Maximization in Online Social Networks</t>
  </si>
  <si>
    <t>Bui C., D., Phạm Văn, C., Phước, T.</t>
  </si>
  <si>
    <t>Gap-Adaptive Spectral Containment of Network Epidemics: Budgeted Edge Removal with Certified Eigenvector Refresh</t>
  </si>
  <si>
    <t>Journal Track: Motif-Composition Change-Point Detection in Temporal Graph</t>
  </si>
  <si>
    <t>Le, X., Pham, M., Lê Thị Hồng, C., Tran Truong, T., Nguyen, D.</t>
  </si>
  <si>
    <t>DGAB: Credit Fraud Detection with Dynamic Graph Attribute Binning Representation</t>
  </si>
  <si>
    <t>Pham, T.</t>
  </si>
  <si>
    <t>Vu, S., Pham, U., Duan, Y., Mei, Y., Nguyen, H.</t>
  </si>
  <si>
    <t>Applied Science Networks.</t>
  </si>
  <si>
    <t>From Theory to Practice: Ada-Graph for Class-Imbalanced and Noisy NIDS</t>
  </si>
  <si>
    <t>Cho, D., Hung, M.</t>
  </si>
  <si>
    <t>Journal???</t>
  </si>
  <si>
    <t>Chỉ gửi abstract, không thấy tác giả note là được submit vào Journal track --&gt; cần confirm lại xem đây có phải là bài được nộp vào journal track hay không</t>
  </si>
  <si>
    <t>Singh, A., Shrivastava, D., Misra, R.</t>
  </si>
  <si>
    <t>Short paper (Unpaid)</t>
  </si>
  <si>
    <t>Phan, Đ., Nguyễn, Q.</t>
  </si>
  <si>
    <t>Temporal Knowledge Graph Reasoning for Real Time Solar Power Forecasting Using Satellite Data</t>
  </si>
  <si>
    <t>Nguyen, K., Long, D.</t>
  </si>
  <si>
    <t>PRIMA: Privacy-Preserving Matching-Based Communication Scheduling for Decentralized Federated Learning</t>
  </si>
  <si>
    <t>Nguyen, X., Nguyen, T.</t>
  </si>
  <si>
    <t>Thắng, H.</t>
  </si>
  <si>
    <t>Do, T., Thuan, N., McLoone, S., Jurek, A., Bai, L.</t>
  </si>
  <si>
    <t>Graph evolution rules meet communities: assessing global and local patterns in the evolution of dynamic networks</t>
  </si>
  <si>
    <t>Galdeman, A., Zignani, M., Gaito, S.</t>
  </si>
  <si>
    <t>ViDense: A Vietnamese Dense Text Embedding Model with Phased Contrastive Learning and a Relation-Aware Rank Encoder</t>
  </si>
  <si>
    <t>Phuong Nam, D., Pham, H., Linh, N.</t>
  </si>
  <si>
    <t>Nguyen, T., Linh, N., Thi Ngoc Ha, M.</t>
  </si>
  <si>
    <t>GVS-Fusion: A Unified Cross-Attention Trimodal Framework for Malware Detection</t>
  </si>
  <si>
    <t>Le-Thi-Thu, N., Huynh-Xuan, H., Ho-Dinh-Bach, H., Nguyen-Ket, D., Luong, K.</t>
  </si>
  <si>
    <t>False‑Self Attractor Index - A Post‑Hoc Framework for Out‑of‑Distribution Detection via Population‑Level Error Dynamics</t>
  </si>
  <si>
    <t>Nguyễn Hải, T.</t>
  </si>
  <si>
    <t>Confidence Trajectory Stability Indices: A Multi‑Faceted Framework for Evaluating Prediction Robustness Under Progressive Perturbation</t>
  </si>
  <si>
    <t>Multi-Perspective Trust Estimation Framework for Deep Neural Network Reliability</t>
  </si>
  <si>
    <t>BBQ: A Wait-free Distributed Single Producer Multiple Consumer Queue</t>
  </si>
  <si>
    <t>Le, A., Vo, T., Diep, D.</t>
  </si>
  <si>
    <t>Nguyen, V., Lam, Q.</t>
  </si>
  <si>
    <t>Verifiable Cryptographic Federated Forensics: A Combinatorial Optimization Approach for Quorum Selection and Evidence Sharding</t>
  </si>
  <si>
    <t>Truong Xuan Hung, T.</t>
  </si>
  <si>
    <t>Benavidez, D.</t>
  </si>
  <si>
    <t>De Luca, P., Nardo, E., Quan, T., Ciaramella, A.</t>
  </si>
  <si>
    <t>Thầy Thịnh</t>
  </si>
  <si>
    <t xml:space="preserve">No </t>
  </si>
  <si>
    <t>Quang-Dung, P., Nguyen, X., Truong, T.</t>
  </si>
  <si>
    <t>Quang-Dung, P., Phan TH, L.</t>
  </si>
  <si>
    <t>Ha Thi Kim, D., tran, U., Tran, N., Nguyen, H.</t>
  </si>
  <si>
    <t>Machine Learning-Enhanced Black-Litterman Portfolio Optimization: A Walk-Forward Framework for the Vietnamese Market</t>
  </si>
  <si>
    <t>Nguyen, P., Pham, V., Truong, T.</t>
  </si>
  <si>
    <t>Vo, N., Truong, D., Nguyen, T., Khanh, H., Nguyen, H., Vo, Q., Cao, T., Quan, T., Nguyen, T.</t>
  </si>
  <si>
    <t>Shaw, E.</t>
  </si>
  <si>
    <t>Nguyen, V., Vo, C.</t>
  </si>
  <si>
    <t>Nguyen, C., Le, D., Tran, T., Le, D., Nguyen, L., Tran, H., Vu, C.</t>
  </si>
  <si>
    <t>From Detection to Packing: A Vision-Based Cashew Sorting System</t>
  </si>
  <si>
    <t>Hoang, A., Nguyen Manh, T.</t>
  </si>
  <si>
    <t>Evaluating Microservice Autoscalers under a Hard Replica Budget</t>
  </si>
  <si>
    <t>Quoc Khanh, N., Quang Khai, N., Huy Bien, N.</t>
  </si>
  <si>
    <t>Ito, N., XIE, J., OBATA, H., MURASE, T.</t>
  </si>
  <si>
    <t>TabFusion-RAG: Enhancing RAG Systems with Robust Table Extraction from Heterogeneous and Visually Complex Document</t>
  </si>
  <si>
    <t>Loc, D.</t>
  </si>
  <si>
    <t>Enhancing User Experience in Mobile VR Gaming: A Real-Time Motion-Control System Using ESP32 and MPU6050</t>
  </si>
  <si>
    <t>LatentTabNet: Density-Adaptive Latent Representation Learning for Imbalanced Fraud Detection</t>
  </si>
  <si>
    <t>Huynh, C., Khai Tran, T., Tran, M.</t>
  </si>
  <si>
    <t>A Quasi-Experimental Developer Study of Security Training in LLM-Assisted Web Apps Development</t>
  </si>
  <si>
    <t>Sabbah, A., Kharma, M., Jarrar, R., Zain, S., Khanafseh, M., Mohaisen, D.</t>
  </si>
  <si>
    <t>AI Regulation Across Jurisdictions: A Comparative Study</t>
  </si>
  <si>
    <t>Mohaisen, D., Alquonus, K.</t>
  </si>
  <si>
    <t>Minh Pham, T., Dương Tuấn, A., Chau, V.</t>
  </si>
  <si>
    <t>Pham, T., Dang, M., Le, H., Le, T.</t>
  </si>
  <si>
    <t>Nguyen Quang, M., Bui Thu, L., Le Thi Hong, V.</t>
  </si>
  <si>
    <t>Ha Thi Kim, D., Nguyễn, P., Nguyen, T., Nguyen, U., Doan, H.</t>
  </si>
  <si>
    <t>Mai Xuan, T., Nguyen Van, H., Vuong Tuan, C., tran, B., Pham, V., Luong, T.</t>
  </si>
  <si>
    <t>A Retrieval- and Verification-Guided Framework for Hierarchical Intent Annotation in Vietnamese Ecommerce</t>
  </si>
  <si>
    <t>Dao, H., Nguyễn, N., Thuan, N.</t>
  </si>
  <si>
    <t>Ung, L., Dinh, T., Luu, S.</t>
  </si>
  <si>
    <t>Behavioral Denoising Using Large Language Models for Multi-Behavior Recommendation</t>
  </si>
  <si>
    <t>Le, T., Thai-Nghe, N., Minh-Thanh, T.</t>
  </si>
  <si>
    <t>CASA: A Diagnostic Study of Graph Representation Generalization under Structural Domain Shift in Binary Code Similarity</t>
  </si>
  <si>
    <t>Nguyễn Phúc, H., Ngo, K., To, T., Do, T., Pham, V., Phan Thế, D.</t>
  </si>
  <si>
    <t>Nông, T., VÕ HOÀNG NHẬT, K., Phan, T.</t>
  </si>
  <si>
    <t>Pham, T., Quan, T., Nageshwaran, V., Ngo, T., Nguyen, H., Duong, P., EZEKIEL, S.</t>
  </si>
  <si>
    <t>Radha Krishnan, N., EZEKIEL, S.</t>
  </si>
  <si>
    <t>Ghadamian, M., Mohaisen, D.</t>
  </si>
  <si>
    <t>Toan, L., TRAN NGUYEN, M.</t>
  </si>
  <si>
    <t>Tran, T., Lo, H., Truong, Q., Trang, L.</t>
  </si>
  <si>
    <t>A Benchmark Dataset and Annotation Framework for Vietnamese Aspect-Based Emotion Analysis of Movie Reviews</t>
  </si>
  <si>
    <t>Nguyen, T., Le, N., Thuan, N.</t>
  </si>
  <si>
    <t>Talha, A., Liu, P., Paul, S.</t>
  </si>
  <si>
    <t>AT-LSTM: An Adaptive Transformer-LSTM Model for RFID Tag Quantity Estimation in DFSA Protocols</t>
  </si>
  <si>
    <t>Hoang, K., Nguyen, D., Le, V., Vo, V.</t>
  </si>
  <si>
    <t>Hallucinations in Diffusion Large Language Models: Types, Causes, Detection Approaches, and Benchmarks</t>
  </si>
  <si>
    <t>Bùi Thị Thanh, T., Lu Xuan, M., Doan Thao, V., Trần Nguyễn Hoàng, Y.</t>
  </si>
  <si>
    <t>SURE: A Video-Derived Benchmark and Long-Context Reference Model for Text-Based Person Search</t>
  </si>
  <si>
    <t>Nguyen, L., LE, T.</t>
  </si>
  <si>
    <t>TA, L., LE, T.</t>
  </si>
  <si>
    <t>Q-DriveSem: Query-Adaptive Semantic Communication for Bandwidth-Efficient Traffic Video Question Answering</t>
  </si>
  <si>
    <t>Pham Duc, C., Linh, N.</t>
  </si>
  <si>
    <t>Huỳnh Phan Gia, B., Tran, T.</t>
  </si>
  <si>
    <t>Tran-Nguyen-Viet, H., Bui-Ngoc, T., Le-Anh, T., Nguyen-Van, B., Le Trung, Q.</t>
  </si>
  <si>
    <t>Nguyen Dieu, H., Le, N., Nguyen, L.</t>
  </si>
  <si>
    <t>Hồ Chấn, K., PHAN, A., PHAN, T.</t>
  </si>
  <si>
    <t>Nguy, L., Nguyen, M., Lam, K., Le, V.</t>
  </si>
  <si>
    <t>Tran, V., Nguyen, T., Doan, T.</t>
  </si>
  <si>
    <t>Le, M., Thinh, T., Ho, V., Long Tan, L., Nguyen, L.</t>
  </si>
  <si>
    <t>Tran, T., Lam, K., Le, V.</t>
  </si>
  <si>
    <t>Chuyển từ accepted =&gt; short paper</t>
  </si>
  <si>
    <t>Kieu, G., Nguyen, V., Nguyen, T., Hoang, B., Tran, L., Nguyen, S.</t>
  </si>
  <si>
    <t>Thầy H.Anh</t>
  </si>
  <si>
    <t>Nguyen, M., Bui, D., Nguyen, T.</t>
  </si>
  <si>
    <t>Done</t>
  </si>
  <si>
    <t>Tran, A., Hoang, T., Vu, D.</t>
  </si>
  <si>
    <t>30 pages</t>
  </si>
  <si>
    <t>Nguyen-Ly, T., Banh, B.</t>
  </si>
  <si>
    <t>Vinh Luan, L., Ngo, L.</t>
  </si>
  <si>
    <t>Le, Q., Nguyen, V., Thi Minh Tuyen, N.</t>
  </si>
  <si>
    <t>Nguyen Khoa Gia, C., Le, T.</t>
  </si>
  <si>
    <t>Dao Xuan, Q., Nguyen, P., Thi-Mai-Anh, B., Duc Manh, T., Quoc Bao, B., Bach Viet, H., Kyeong Doun, K.</t>
  </si>
  <si>
    <t>Nguyễn, B., Le, T., Huynh, H., Bùi Minh, Q., Le, N.</t>
  </si>
  <si>
    <t>Pham Ngoc, H., Quoc-Hung, P., Phạm, T.</t>
  </si>
  <si>
    <t>Phạm, B., Pham Van, C., Nguyen, U.</t>
  </si>
  <si>
    <t>Nguyen, Q., Vo, C.</t>
  </si>
  <si>
    <t>NGUYỄN QUANG, H., Phan Tran Y, N., Thoai, N.</t>
  </si>
  <si>
    <t>Thi Khac, Q., TRẦN NGỌC BẢO, D., Le Binh, D., Quan, T.</t>
  </si>
  <si>
    <t>Nguyen, T., Phan, Q., Tran, K., Nguyễn Bích, V., Mai, T., Duy, V., Luong, N.</t>
  </si>
  <si>
    <t>Lin, J., Wang, C., Xiao, H., Yi, F.</t>
  </si>
  <si>
    <t>Over-length (23 pages)</t>
  </si>
  <si>
    <t>NGUYỄN QUANG, H., Thoai, N.</t>
  </si>
  <si>
    <t>HCMUT</t>
  </si>
  <si>
    <t>Nguyen, H.</t>
  </si>
  <si>
    <t>Lam, N., Vu, D., Thinh, T., Huynh, P.</t>
  </si>
  <si>
    <t>Nguyễn, L., Nguyễn Lê Hiểu, V., Nguyễn Hoàng Việt, T., Nguyễn Thanh, H.</t>
  </si>
  <si>
    <t>Deo, U., Singh, A., De, S., Sharma, A.</t>
  </si>
  <si>
    <t>Chakraborty, B., Singh, A.</t>
  </si>
  <si>
    <t>., S., Singh, A., Sharma, A., Ghanbarnejad, F.</t>
  </si>
  <si>
    <t>Có yếu tố nước ngoài, nhưng từ India</t>
  </si>
  <si>
    <t>Shekhar, S., Singh, A., Sunil, K., Cherifi, H.</t>
  </si>
  <si>
    <t>Minor revision</t>
  </si>
  <si>
    <t>Did ask for late registration</t>
  </si>
  <si>
    <t>Author báo đã đóng tiền vào Oct 18</t>
  </si>
  <si>
    <r>
      <rPr>
        <color rgb="FF1155CC"/>
        <u/>
      </rPr>
      <t>24C11020@student.hcmus.edu.vn</t>
    </r>
  </si>
  <si>
    <r>
      <rPr>
        <color rgb="FF1155CC"/>
        <u/>
      </rPr>
      <t>tan.vonhatcse@hcmut.edu.vn</t>
    </r>
  </si>
  <si>
    <t>Phân loại</t>
  </si>
  <si>
    <t>Số lượng</t>
  </si>
  <si>
    <t xml:space="preserve">Tỉ lệ (%) per 223 </t>
  </si>
  <si>
    <t>Tỉ lệ (%) per 243</t>
  </si>
  <si>
    <t>Note</t>
  </si>
  <si>
    <t>Tổng số bài trên hệ thống</t>
  </si>
  <si>
    <t>Tính cả các bài open submission, test</t>
  </si>
  <si>
    <t>Tổng số bài đã nộp</t>
  </si>
  <si>
    <t>Tính cả các bài trùng lặp</t>
  </si>
  <si>
    <t>Tổng số bài</t>
  </si>
  <si>
    <t>Đã bỏ các bài open Submisison, bỏ các bài trùng lặp</t>
  </si>
  <si>
    <t>Short</t>
  </si>
  <si>
    <t>Workshop</t>
  </si>
  <si>
    <t>AI-Tech</t>
  </si>
  <si>
    <t>EXACT</t>
  </si>
  <si>
    <t>Social Net</t>
  </si>
  <si>
    <t xml:space="preserve">Tônge tỉ lệ acceptance rate của Regualar + Short </t>
  </si>
  <si>
    <t>TOTAL</t>
  </si>
  <si>
    <t xml:space="preserve">ID </t>
  </si>
  <si>
    <t xml:space="preserve">Note </t>
  </si>
  <si>
    <t xml:space="preserve">Author thay đổi camera ready --&gt; cần add lại </t>
  </si>
  <si>
    <t xml:space="preserve">Cần thêm abstract của các bải Journal đã được accept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</si>
</sst>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3">
    <font>
      <sz val="12.0"/>
      <color theme="1"/>
      <name val="Aptos Narrow"/>
      <scheme val="minor"/>
    </font>
    <font>
      <b/>
      <color theme="1"/>
      <name val="Arial"/>
    </font>
    <font>
      <color theme="1"/>
      <name val="Aptos Narrow"/>
      <scheme val="minor"/>
    </font>
    <font>
      <b/>
      <sz val="10.0"/>
      <color theme="1"/>
      <name val="Arial"/>
    </font>
    <font>
      <b/>
      <sz val="12.0"/>
      <color rgb="FF000000"/>
      <name val="Arial"/>
    </font>
    <font>
      <color theme="1"/>
      <name val="Arial"/>
    </font>
    <font>
      <sz val="12.0"/>
      <color rgb="FF000000"/>
      <name val="Arial"/>
    </font>
    <font>
      <b/>
      <sz val="12.0"/>
      <color theme="1"/>
      <name val="Arial"/>
    </font>
    <font>
      <b/>
      <sz val="11.0"/>
      <color rgb="FF000000"/>
      <name val="&quot;Aptos Narrow&quot;"/>
    </font>
    <font>
      <sz val="12.0"/>
      <color theme="1"/>
      <name val="Aptos Narrow"/>
    </font>
    <font>
      <sz val="12.0"/>
      <color theme="1"/>
      <name val="Arial"/>
    </font>
    <font>
      <sz val="11.0"/>
      <color rgb="FF000000"/>
      <name val="&quot;Aptos Narrow&quot;"/>
    </font>
    <font>
      <strike/>
      <color theme="1"/>
      <name val="Arial"/>
    </font>
    <font>
      <sz val="10.0"/>
      <color theme="1"/>
      <name val="Aptos Narrow"/>
    </font>
    <font/>
    <font>
      <strike/>
      <color theme="1"/>
      <name val="Aptos Narrow"/>
      <scheme val="minor"/>
    </font>
    <font>
      <b/>
      <color theme="1"/>
      <name val="Aptos Narrow"/>
      <scheme val="minor"/>
    </font>
    <font>
      <sz val="11.0"/>
      <color rgb="FF000000"/>
      <name val="Arial"/>
    </font>
    <font>
      <sz val="12.0"/>
      <color rgb="FF172033"/>
      <name val="Arial"/>
    </font>
    <font>
      <b/>
      <color rgb="FF172033"/>
      <name val="Arial"/>
    </font>
    <font>
      <sz val="12.0"/>
      <color rgb="FF000000"/>
      <name val="Aptos"/>
    </font>
    <font>
      <u/>
      <color rgb="FF0000FF"/>
    </font>
    <font>
      <color rgb="FF222222"/>
      <name val="Arial"/>
    </font>
    <font>
      <sz val="12.0"/>
      <color rgb="FFFF0000"/>
      <name val="Arial"/>
    </font>
    <font>
      <b/>
      <sz val="12.0"/>
      <color theme="1"/>
      <name val="Aptos Narrow"/>
    </font>
    <font>
      <color rgb="FFFF0000"/>
      <name val="Aptos Narrow"/>
      <scheme val="minor"/>
    </font>
    <font>
      <sz val="12.0"/>
      <color rgb="FF000000"/>
      <name val="&quot;Aptos Narrow&quot;"/>
    </font>
    <font>
      <sz val="11.0"/>
      <color rgb="FFFF0000"/>
      <name val="Arial"/>
    </font>
    <font>
      <sz val="11.0"/>
      <color rgb="FFFF0000"/>
      <name val="&quot;Aptos Narrow&quot;"/>
    </font>
    <font>
      <color rgb="FF172033"/>
      <name val="Arial"/>
    </font>
    <font>
      <sz val="11.0"/>
      <color rgb="FFFF0000"/>
      <name val="Aptos Narrow"/>
    </font>
    <font>
      <sz val="10.0"/>
      <color theme="1"/>
      <name val="Arial"/>
    </font>
    <font>
      <sz val="10.0"/>
      <color theme="1"/>
      <name val="Aptos Narrow"/>
      <scheme val="minor"/>
    </font>
    <font>
      <b/>
      <sz val="11.0"/>
      <color rgb="FFFF0000"/>
      <name val="&quot;Aptos Narrow \(Body\)&quot;"/>
    </font>
    <font>
      <u/>
      <color rgb="FF0000FF"/>
    </font>
    <font>
      <b/>
      <sz val="12.0"/>
      <color rgb="FF000000"/>
      <name val="&quot;Aptos Narrow&quot;"/>
    </font>
    <font>
      <b/>
      <sz val="12.0"/>
      <color rgb="FFFF0000"/>
      <name val="Arial"/>
    </font>
    <font>
      <sz val="12.0"/>
      <color rgb="FFFF0000"/>
      <name val="&quot;Aptos Narrow&quot;"/>
    </font>
    <font>
      <i/>
      <sz val="12.0"/>
      <color rgb="FF000000"/>
      <name val="Arial"/>
    </font>
    <font>
      <i/>
      <sz val="12.0"/>
      <color rgb="FF000000"/>
      <name val="&quot;Aptos Narrow&quot;"/>
    </font>
    <font>
      <b/>
      <sz val="12.0"/>
      <color rgb="FFFF0000"/>
      <name val="&quot;Aptos Narrow&quot;"/>
    </font>
    <font>
      <b/>
      <color rgb="FFFF0000"/>
      <name val="Arial"/>
    </font>
    <font>
      <b/>
      <color rgb="FFFF0000"/>
      <name val="Aptos Narrow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1" fillId="4" fontId="4" numFmtId="0" xfId="0" applyAlignment="1" applyBorder="1" applyFill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4" fontId="6" numFmtId="0" xfId="0" applyAlignment="1" applyBorder="1" applyFill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0" fillId="4" fontId="8" numFmtId="0" xfId="0" applyAlignment="1" applyFill="1" applyFont="1">
      <alignment horizontal="center" readingOrder="0" shrinkToFit="0" vertical="center" wrapText="1"/>
    </xf>
    <xf borderId="0" fillId="4" fontId="8" numFmtId="0" xfId="0" applyAlignment="1" applyFill="1" applyFont="1">
      <alignment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0" fillId="4" fontId="2" numFmtId="0" xfId="0" applyAlignment="1" applyFill="1" applyFont="1">
      <alignment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0" fontId="9" numFmtId="1" xfId="0" applyAlignment="1" applyBorder="1" applyFont="1" applyNumberFormat="1">
      <alignment vertical="center"/>
    </xf>
    <xf borderId="1" fillId="4" fontId="6" numFmtId="0" xfId="0" applyAlignment="1" applyBorder="1" applyFill="1" applyFont="1">
      <alignment horizontal="right" readingOrder="0" shrinkToFit="0" vertical="center" wrapText="1"/>
    </xf>
    <xf borderId="1" fillId="0" fontId="10" numFmtId="1" xfId="0" applyAlignment="1" applyBorder="1" applyFont="1" applyNumberFormat="1">
      <alignment readingOrder="0" vertical="center"/>
    </xf>
    <xf borderId="0" fillId="0" fontId="9" numFmtId="1" xfId="0" applyAlignment="1" applyFont="1" applyNumberFormat="1">
      <alignment vertical="center"/>
    </xf>
    <xf borderId="1" fillId="4" fontId="1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4" fontId="11" numFmtId="0" xfId="0" applyAlignment="1" applyBorder="1" applyFill="1" applyFont="1">
      <alignment readingOrder="0"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vertical="center"/>
    </xf>
    <xf borderId="1" fillId="0" fontId="1" numFmtId="0" xfId="0" applyAlignment="1" applyBorder="1" applyFont="1">
      <alignment readingOrder="0"/>
    </xf>
    <xf borderId="1" fillId="4" fontId="11" numFmtId="0" xfId="0" applyAlignment="1" applyBorder="1" applyFill="1" applyFont="1">
      <alignment shrinkToFit="0" vertical="center" wrapText="1"/>
    </xf>
    <xf borderId="1" fillId="0" fontId="12" numFmtId="0" xfId="0" applyAlignment="1" applyBorder="1" applyFont="1">
      <alignment readingOrder="0" shrinkToFit="0" wrapText="1"/>
    </xf>
    <xf borderId="2" fillId="5" fontId="1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shrinkToFit="0" vertical="center" wrapText="1"/>
    </xf>
    <xf borderId="3" fillId="0" fontId="14" numFmtId="0" xfId="0" applyBorder="1" applyFont="1"/>
    <xf borderId="4" fillId="0" fontId="14" numFmtId="0" xfId="0" applyBorder="1" applyFont="1"/>
    <xf borderId="0" fillId="0" fontId="15" numFmtId="0" xfId="0" applyAlignment="1" applyFont="1">
      <alignment shrinkToFit="0" wrapText="1"/>
    </xf>
    <xf borderId="1" fillId="6" fontId="9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readingOrder="0" shrinkToFit="0" vertical="center" wrapText="1"/>
    </xf>
    <xf borderId="0" fillId="0" fontId="16" numFmtId="0" xfId="0" applyAlignment="1" applyFont="1">
      <alignment shrinkToFit="0" vertical="center" wrapText="1"/>
    </xf>
    <xf borderId="1" fillId="0" fontId="9" numFmtId="0" xfId="0" applyAlignment="1" applyBorder="1" applyFont="1">
      <alignment horizontal="right" vertical="center"/>
    </xf>
    <xf borderId="1" fillId="0" fontId="5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1" fillId="0" fontId="9" numFmtId="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7" fontId="1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vertical="center"/>
    </xf>
    <xf borderId="1" fillId="8" fontId="6" numFmtId="0" xfId="0" applyAlignment="1" applyBorder="1" applyFill="1" applyFont="1">
      <alignment readingOrder="0" shrinkToFit="0" vertical="center" wrapText="1"/>
    </xf>
    <xf borderId="1" fillId="0" fontId="5" numFmtId="0" xfId="0" applyAlignment="1" applyBorder="1" applyFont="1">
      <alignment readingOrder="0" vertical="center"/>
    </xf>
    <xf borderId="1" fillId="8" fontId="17" numFmtId="0" xfId="0" applyAlignment="1" applyBorder="1" applyFill="1" applyFont="1">
      <alignment horizontal="center" readingOrder="0" shrinkToFit="0" vertical="center" wrapText="1"/>
    </xf>
    <xf borderId="1" fillId="0" fontId="2" numFmtId="0" xfId="0" applyBorder="1" applyFont="1"/>
    <xf borderId="0" fillId="8" fontId="18" numFmtId="0" xfId="0" applyAlignment="1" applyFill="1" applyFont="1">
      <alignment horizontal="right" readingOrder="0"/>
    </xf>
    <xf borderId="0" fillId="8" fontId="2" numFmtId="0" xfId="0" applyAlignment="1" applyFill="1" applyFont="1">
      <alignment shrinkToFit="0" vertical="center" wrapText="1"/>
    </xf>
    <xf borderId="1" fillId="8" fontId="5" numFmtId="0" xfId="0" applyAlignment="1" applyBorder="1" applyFill="1" applyFont="1">
      <alignment readingOrder="0" shrinkToFit="0" wrapText="1"/>
    </xf>
    <xf borderId="1" fillId="6" fontId="10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" fillId="8" fontId="2" numFmtId="0" xfId="0" applyAlignment="1" applyBorder="1" applyFill="1" applyFont="1">
      <alignment readingOrder="0"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8" fontId="18" numFmtId="0" xfId="0" applyAlignment="1" applyBorder="1" applyFill="1" applyFont="1">
      <alignment horizontal="right" readingOrder="0"/>
    </xf>
    <xf borderId="1" fillId="0" fontId="10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9" fontId="2" numFmtId="0" xfId="0" applyAlignment="1" applyFill="1" applyFont="1">
      <alignment shrinkToFit="0" vertical="center" wrapText="1"/>
    </xf>
    <xf borderId="1" fillId="4" fontId="17" numFmtId="0" xfId="0" applyAlignment="1" applyBorder="1" applyFill="1" applyFont="1">
      <alignment horizontal="center" readingOrder="0" shrinkToFit="0" vertical="center" wrapText="1"/>
    </xf>
    <xf borderId="0" fillId="10" fontId="18" numFmtId="0" xfId="0" applyAlignment="1" applyFill="1" applyFont="1">
      <alignment horizontal="right" readingOrder="0"/>
    </xf>
    <xf borderId="1" fillId="0" fontId="10" numFmtId="0" xfId="0" applyAlignment="1" applyBorder="1" applyFont="1">
      <alignment readingOrder="0" vertical="center"/>
    </xf>
    <xf borderId="1" fillId="11" fontId="9" numFmtId="0" xfId="0" applyAlignment="1" applyBorder="1" applyFill="1" applyFont="1">
      <alignment vertical="center"/>
    </xf>
    <xf borderId="1" fillId="4" fontId="17" numFmtId="0" xfId="0" applyAlignment="1" applyBorder="1" applyFill="1" applyFont="1">
      <alignment readingOrder="0" shrinkToFit="0" vertical="center" wrapText="1"/>
    </xf>
    <xf borderId="0" fillId="4" fontId="11" numFmtId="0" xfId="0" applyAlignment="1" applyFill="1" applyFont="1">
      <alignment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right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right" readingOrder="0"/>
    </xf>
    <xf borderId="1" fillId="0" fontId="18" numFmtId="0" xfId="0" applyAlignment="1" applyBorder="1" applyFont="1">
      <alignment horizontal="right" readingOrder="0"/>
    </xf>
    <xf borderId="1" fillId="2" fontId="10" numFmtId="0" xfId="0" applyAlignment="1" applyBorder="1" applyFill="1" applyFont="1">
      <alignment readingOrder="0" shrinkToFit="0" vertical="center" wrapText="1"/>
    </xf>
    <xf borderId="1" fillId="2" fontId="9" numFmtId="0" xfId="0" applyAlignment="1" applyBorder="1" applyFill="1" applyFont="1">
      <alignment vertical="center"/>
    </xf>
    <xf borderId="1" fillId="4" fontId="19" numFmtId="0" xfId="0" applyAlignment="1" applyBorder="1" applyFill="1" applyFont="1">
      <alignment readingOrder="0"/>
    </xf>
    <xf borderId="1" fillId="2" fontId="13" numFmtId="0" xfId="0" applyAlignment="1" applyBorder="1" applyFill="1" applyFont="1">
      <alignment shrinkToFit="0" vertical="center" wrapText="1"/>
    </xf>
    <xf borderId="1" fillId="2" fontId="10" numFmtId="0" xfId="0" applyAlignment="1" applyBorder="1" applyFill="1" applyFont="1">
      <alignment horizontal="center" readingOrder="0" vertical="center"/>
    </xf>
    <xf borderId="1" fillId="4" fontId="18" numFmtId="0" xfId="0" applyAlignment="1" applyBorder="1" applyFill="1" applyFont="1">
      <alignment horizontal="right" readingOrder="0"/>
    </xf>
    <xf borderId="1" fillId="2" fontId="9" numFmtId="0" xfId="0" applyAlignment="1" applyBorder="1" applyFill="1" applyFont="1">
      <alignment horizontal="right" vertical="center"/>
    </xf>
    <xf borderId="1" fillId="2" fontId="9" numFmtId="1" xfId="0" applyAlignment="1" applyBorder="1" applyFill="1" applyFont="1" applyNumberFormat="1">
      <alignment horizontal="center" vertical="center"/>
    </xf>
    <xf borderId="1" fillId="4" fontId="20" numFmtId="0" xfId="0" applyAlignment="1" applyBorder="1" applyFill="1" applyFont="1">
      <alignment horizontal="left" readingOrder="0"/>
    </xf>
    <xf borderId="1" fillId="2" fontId="2" numFmtId="0" xfId="0" applyAlignment="1" applyBorder="1" applyFill="1" applyFont="1">
      <alignment horizontal="center" vertical="center"/>
    </xf>
    <xf borderId="1" fillId="2" fontId="10" numFmtId="1" xfId="0" applyAlignment="1" applyBorder="1" applyFill="1" applyFont="1" applyNumberFormat="1">
      <alignment readingOrder="0" vertical="center"/>
    </xf>
    <xf borderId="1" fillId="2" fontId="9" numFmtId="1" xfId="0" applyAlignment="1" applyBorder="1" applyFill="1" applyFont="1" applyNumberFormat="1">
      <alignment vertical="center"/>
    </xf>
    <xf borderId="0" fillId="2" fontId="9" numFmtId="1" xfId="0" applyAlignment="1" applyFill="1" applyFont="1" applyNumberFormat="1">
      <alignment vertical="center"/>
    </xf>
    <xf borderId="0" fillId="2" fontId="2" numFmtId="0" xfId="0" applyAlignment="1" applyFill="1" applyFont="1">
      <alignment vertical="center"/>
    </xf>
    <xf borderId="1" fillId="0" fontId="10" numFmtId="0" xfId="0" applyAlignment="1" applyBorder="1" applyFont="1">
      <alignment horizontal="right" readingOrder="0" shrinkToFit="0" vertical="center" wrapText="0"/>
    </xf>
    <xf borderId="1" fillId="2" fontId="9" numFmtId="0" xfId="0" applyAlignment="1" applyBorder="1" applyFill="1" applyFont="1">
      <alignment shrinkToFit="0" vertical="center" wrapText="1"/>
    </xf>
    <xf borderId="1" fillId="0" fontId="10" numFmtId="0" xfId="0" applyAlignment="1" applyBorder="1" applyFont="1">
      <alignment horizontal="right" shrinkToFit="0" vertical="center" wrapText="0"/>
    </xf>
    <xf borderId="1" fillId="4" fontId="21" numFmtId="0" xfId="0" applyAlignment="1" applyBorder="1" applyFill="1" applyFont="1">
      <alignment readingOrder="0"/>
    </xf>
    <xf borderId="1" fillId="12" fontId="1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right" readingOrder="0" vertical="center"/>
    </xf>
    <xf borderId="0" fillId="0" fontId="2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right" readingOrder="0" shrinkToFit="0" vertical="center" wrapText="1"/>
    </xf>
    <xf borderId="1" fillId="4" fontId="22" numFmtId="0" xfId="0" applyAlignment="1" applyBorder="1" applyFill="1" applyFont="1">
      <alignment readingOrder="0"/>
    </xf>
    <xf borderId="1" fillId="0" fontId="5" numFmtId="0" xfId="0" applyAlignment="1" applyBorder="1" applyFont="1">
      <alignment shrinkToFit="0" vertical="center" wrapText="1"/>
    </xf>
    <xf borderId="1" fillId="6" fontId="23" numFmtId="0" xfId="0" applyAlignment="1" applyBorder="1" applyFill="1" applyFont="1">
      <alignment horizontal="center" readingOrder="0" vertical="center"/>
    </xf>
    <xf borderId="1" fillId="0" fontId="24" numFmtId="1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right" readingOrder="0" shrinkToFit="0" vertical="center" wrapText="1"/>
    </xf>
    <xf borderId="1" fillId="2" fontId="10" numFmtId="0" xfId="0" applyAlignment="1" applyBorder="1" applyFill="1" applyFont="1">
      <alignment horizontal="right" shrinkToFit="0" vertical="center" wrapText="0"/>
    </xf>
    <xf borderId="1" fillId="10" fontId="18" numFmtId="0" xfId="0" applyAlignment="1" applyBorder="1" applyFill="1" applyFont="1">
      <alignment horizontal="right" readingOrder="0"/>
    </xf>
    <xf borderId="1" fillId="6" fontId="10" numFmtId="0" xfId="0" applyAlignment="1" applyBorder="1" applyFill="1" applyFont="1">
      <alignment horizontal="center" readingOrder="0" shrinkToFit="0" vertical="center" wrapText="0"/>
    </xf>
    <xf borderId="0" fillId="4" fontId="25" numFmtId="0" xfId="0" applyAlignment="1" applyFill="1" applyFont="1">
      <alignment shrinkToFit="0" vertical="center" wrapText="1"/>
    </xf>
    <xf borderId="1" fillId="6" fontId="23" numFmtId="0" xfId="0" applyAlignment="1" applyBorder="1" applyFill="1" applyFont="1">
      <alignment horizontal="center" readingOrder="0" shrinkToFit="0" vertical="center" wrapText="0"/>
    </xf>
    <xf borderId="1" fillId="2" fontId="10" numFmtId="0" xfId="0" applyAlignment="1" applyBorder="1" applyFill="1" applyFont="1">
      <alignment horizontal="right" readingOrder="0" shrinkToFit="0" vertical="center" wrapText="0"/>
    </xf>
    <xf borderId="1" fillId="0" fontId="6" numFmtId="0" xfId="0" applyAlignment="1" applyBorder="1" applyFont="1">
      <alignment horizontal="right" readingOrder="0" shrinkToFit="0" vertical="center" wrapText="0"/>
    </xf>
    <xf borderId="1" fillId="0" fontId="26" numFmtId="0" xfId="0" applyAlignment="1" applyBorder="1" applyFont="1">
      <alignment horizontal="right" readingOrder="0" shrinkToFit="0" vertical="center" wrapText="0"/>
    </xf>
    <xf borderId="1" fillId="8" fontId="23" numFmtId="0" xfId="0" applyAlignment="1" applyBorder="1" applyFill="1" applyFont="1">
      <alignment horizontal="left" readingOrder="0" shrinkToFit="0" vertical="center" wrapText="1"/>
    </xf>
    <xf borderId="1" fillId="8" fontId="23" numFmtId="0" xfId="0" applyAlignment="1" applyBorder="1" applyFill="1" applyFont="1">
      <alignment horizontal="right" readingOrder="0" shrinkToFit="0" vertical="center" wrapText="1"/>
    </xf>
    <xf borderId="1" fillId="8" fontId="23" numFmtId="0" xfId="0" applyAlignment="1" applyBorder="1" applyFill="1" applyFont="1">
      <alignment readingOrder="0" shrinkToFit="0" vertical="center" wrapText="1"/>
    </xf>
    <xf borderId="1" fillId="0" fontId="26" numFmtId="0" xfId="0" applyAlignment="1" applyBorder="1" applyFont="1">
      <alignment horizontal="right" shrinkToFit="0" vertical="center" wrapText="0"/>
    </xf>
    <xf borderId="1" fillId="8" fontId="27" numFmtId="0" xfId="0" applyAlignment="1" applyBorder="1" applyFill="1" applyFont="1">
      <alignment horizontal="center" readingOrder="0" shrinkToFit="0" vertical="center" wrapText="1"/>
    </xf>
    <xf borderId="1" fillId="8" fontId="28" numFmtId="0" xfId="0" applyAlignment="1" applyBorder="1" applyFill="1" applyFont="1">
      <alignment shrinkToFit="0" vertical="center" wrapText="1"/>
    </xf>
    <xf borderId="1" fillId="2" fontId="26" numFmtId="0" xfId="0" applyAlignment="1" applyBorder="1" applyFill="1" applyFont="1">
      <alignment horizontal="right" readingOrder="0" shrinkToFit="0" vertical="center" wrapText="0"/>
    </xf>
    <xf borderId="1" fillId="2" fontId="26" numFmtId="0" xfId="0" applyAlignment="1" applyBorder="1" applyFill="1" applyFont="1">
      <alignment horizontal="right" shrinkToFit="0" vertical="center" wrapText="0"/>
    </xf>
    <xf borderId="1" fillId="4" fontId="29" numFmtId="0" xfId="0" applyAlignment="1" applyBorder="1" applyFill="1" applyFont="1">
      <alignment readingOrder="0"/>
    </xf>
    <xf borderId="0" fillId="4" fontId="11" numFmtId="0" xfId="0" applyAlignment="1" applyFill="1" applyFont="1">
      <alignment shrinkToFit="0" vertical="center" wrapText="1"/>
    </xf>
    <xf borderId="0" fillId="4" fontId="16" numFmtId="0" xfId="0" applyAlignment="1" applyFill="1" applyFont="1">
      <alignment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1" fillId="3" fontId="10" numFmtId="0" xfId="0" applyAlignment="1" applyBorder="1" applyFill="1" applyFont="1">
      <alignment readingOrder="0" shrinkToFit="0" vertical="center" wrapText="1"/>
    </xf>
    <xf borderId="1" fillId="3" fontId="9" numFmtId="0" xfId="0" applyAlignment="1" applyBorder="1" applyFill="1" applyFont="1">
      <alignment vertical="center"/>
    </xf>
    <xf borderId="1" fillId="3" fontId="13" numFmtId="0" xfId="0" applyAlignment="1" applyBorder="1" applyFill="1" applyFont="1">
      <alignment shrinkToFit="0" vertical="center" wrapText="1"/>
    </xf>
    <xf borderId="1" fillId="3" fontId="10" numFmtId="0" xfId="0" applyAlignment="1" applyBorder="1" applyFill="1" applyFont="1">
      <alignment horizontal="center" readingOrder="0" vertical="center"/>
    </xf>
    <xf borderId="1" fillId="3" fontId="10" numFmtId="0" xfId="0" applyAlignment="1" applyBorder="1" applyFill="1" applyFont="1">
      <alignment horizontal="right" readingOrder="0" vertical="center"/>
    </xf>
    <xf borderId="1" fillId="3" fontId="9" numFmtId="0" xfId="0" applyAlignment="1" applyBorder="1" applyFill="1" applyFont="1">
      <alignment horizontal="right" vertical="center"/>
    </xf>
    <xf borderId="1" fillId="3" fontId="9" numFmtId="1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10" numFmtId="1" xfId="0" applyAlignment="1" applyBorder="1" applyFill="1" applyFont="1" applyNumberFormat="1">
      <alignment readingOrder="0" vertical="center"/>
    </xf>
    <xf borderId="1" fillId="3" fontId="9" numFmtId="1" xfId="0" applyAlignment="1" applyBorder="1" applyFill="1" applyFont="1" applyNumberFormat="1">
      <alignment vertical="center"/>
    </xf>
    <xf borderId="0" fillId="3" fontId="9" numFmtId="1" xfId="0" applyAlignment="1" applyFill="1" applyFont="1" applyNumberFormat="1">
      <alignment vertical="center"/>
    </xf>
    <xf borderId="0" fillId="3" fontId="2" numFmtId="0" xfId="0" applyAlignment="1" applyFill="1" applyFont="1">
      <alignment vertical="center"/>
    </xf>
    <xf borderId="1" fillId="6" fontId="30" numFmtId="0" xfId="0" applyAlignment="1" applyBorder="1" applyFill="1" applyFont="1">
      <alignment shrinkToFit="0" vertical="center" wrapText="1"/>
    </xf>
    <xf borderId="1" fillId="3" fontId="9" numFmtId="0" xfId="0" applyAlignment="1" applyBorder="1" applyFill="1" applyFont="1">
      <alignment shrinkToFit="0" vertical="center" wrapText="1"/>
    </xf>
    <xf borderId="1" fillId="3" fontId="9" numFmtId="0" xfId="0" applyAlignment="1" applyBorder="1" applyFill="1" applyFont="1">
      <alignment horizontal="center" vertical="center"/>
    </xf>
    <xf borderId="1" fillId="10" fontId="10" numFmtId="0" xfId="0" applyAlignment="1" applyBorder="1" applyFill="1" applyFont="1">
      <alignment readingOrder="0" shrinkToFit="0" vertical="center" wrapText="1"/>
    </xf>
    <xf borderId="1" fillId="10" fontId="9" numFmtId="0" xfId="0" applyAlignment="1" applyBorder="1" applyFill="1" applyFont="1">
      <alignment vertical="center"/>
    </xf>
    <xf borderId="1" fillId="10" fontId="31" numFmtId="0" xfId="0" applyAlignment="1" applyBorder="1" applyFill="1" applyFont="1">
      <alignment readingOrder="0" shrinkToFit="0" vertical="center" wrapText="1"/>
    </xf>
    <xf borderId="1" fillId="10" fontId="10" numFmtId="0" xfId="0" applyAlignment="1" applyBorder="1" applyFill="1" applyFont="1">
      <alignment horizontal="center" readingOrder="0" vertical="center"/>
    </xf>
    <xf borderId="1" fillId="10" fontId="9" numFmtId="0" xfId="0" applyAlignment="1" applyBorder="1" applyFill="1" applyFont="1">
      <alignment horizontal="center" vertical="center"/>
    </xf>
    <xf borderId="1" fillId="10" fontId="9" numFmtId="1" xfId="0" applyAlignment="1" applyBorder="1" applyFill="1" applyFont="1" applyNumberFormat="1">
      <alignment horizontal="center" vertical="center"/>
    </xf>
    <xf borderId="1" fillId="10" fontId="5" numFmtId="0" xfId="0" applyAlignment="1" applyBorder="1" applyFill="1" applyFont="1">
      <alignment horizontal="center" readingOrder="0" vertical="center"/>
    </xf>
    <xf borderId="1" fillId="10" fontId="9" numFmtId="1" xfId="0" applyAlignment="1" applyBorder="1" applyFill="1" applyFont="1" applyNumberFormat="1">
      <alignment vertical="center"/>
    </xf>
    <xf borderId="0" fillId="10" fontId="9" numFmtId="1" xfId="0" applyAlignment="1" applyFill="1" applyFont="1" applyNumberFormat="1">
      <alignment vertical="center"/>
    </xf>
    <xf borderId="0" fillId="10" fontId="2" numFmtId="0" xfId="0" applyAlignment="1" applyFill="1" applyFont="1">
      <alignment vertical="center"/>
    </xf>
    <xf borderId="1" fillId="0" fontId="23" numFmtId="0" xfId="0" applyAlignment="1" applyBorder="1" applyFont="1">
      <alignment horizontal="center" readingOrder="0" vertical="center"/>
    </xf>
    <xf borderId="0" fillId="0" fontId="32" numFmtId="0" xfId="0" applyAlignment="1" applyFont="1">
      <alignment shrinkToFit="0" vertical="center" wrapText="1"/>
    </xf>
    <xf borderId="0" fillId="0" fontId="0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left" readingOrder="0" shrinkToFit="0" vertical="center" wrapText="1"/>
    </xf>
    <xf borderId="1" fillId="3" fontId="6" numFmtId="0" xfId="0" applyAlignment="1" applyBorder="1" applyFill="1" applyFont="1">
      <alignment horizontal="left" readingOrder="0" shrinkToFit="0" vertical="center" wrapText="1"/>
    </xf>
    <xf borderId="0" fillId="3" fontId="8" numFmtId="0" xfId="0" applyAlignment="1" applyFill="1" applyFont="1">
      <alignment horizontal="center" readingOrder="0" shrinkToFit="0" vertical="center" wrapText="1"/>
    </xf>
    <xf borderId="0" fillId="3" fontId="8" numFmtId="0" xfId="0" applyAlignment="1" applyFill="1" applyFont="1">
      <alignment readingOrder="0" shrinkToFit="0" vertical="center" wrapText="1"/>
    </xf>
    <xf borderId="1" fillId="13" fontId="6" numFmtId="0" xfId="0" applyAlignment="1" applyBorder="1" applyFill="1" applyFont="1">
      <alignment horizontal="left" readingOrder="0" shrinkToFit="0" vertical="center" wrapText="1"/>
    </xf>
    <xf borderId="1" fillId="13" fontId="6" numFmtId="0" xfId="0" applyAlignment="1" applyBorder="1" applyFill="1" applyFont="1">
      <alignment horizontal="right" readingOrder="0" shrinkToFit="0" vertical="center" wrapText="1"/>
    </xf>
    <xf borderId="1" fillId="13" fontId="11" numFmtId="0" xfId="0" applyAlignment="1" applyBorder="1" applyFill="1" applyFont="1">
      <alignment horizontal="center" readingOrder="0" shrinkToFit="0" vertical="center" wrapText="1"/>
    </xf>
    <xf borderId="1" fillId="13" fontId="11" numFmtId="0" xfId="0" applyAlignment="1" applyBorder="1" applyFill="1" applyFont="1">
      <alignment readingOrder="0" shrinkToFit="0" vertical="center" wrapText="1"/>
    </xf>
    <xf borderId="0" fillId="13" fontId="2" numFmtId="0" xfId="0" applyAlignment="1" applyFill="1" applyFont="1">
      <alignment shrinkToFit="0" vertical="center" wrapText="1"/>
    </xf>
    <xf borderId="1" fillId="8" fontId="6" numFmtId="0" xfId="0" applyAlignment="1" applyBorder="1" applyFill="1" applyFont="1">
      <alignment horizontal="left" readingOrder="0" shrinkToFit="0" vertical="center" wrapText="1"/>
    </xf>
    <xf borderId="1" fillId="8" fontId="6" numFmtId="0" xfId="0" applyAlignment="1" applyBorder="1" applyFill="1" applyFont="1">
      <alignment horizontal="right" readingOrder="0" shrinkToFit="0" vertical="center" wrapText="1"/>
    </xf>
    <xf borderId="1" fillId="8" fontId="11" numFmtId="0" xfId="0" applyAlignment="1" applyBorder="1" applyFill="1" applyFont="1">
      <alignment horizontal="center" readingOrder="0" shrinkToFit="0" vertical="center" wrapText="1"/>
    </xf>
    <xf borderId="1" fillId="8" fontId="11" numFmtId="0" xfId="0" applyAlignment="1" applyBorder="1" applyFill="1" applyFont="1">
      <alignment shrinkToFit="0" vertical="center" wrapText="1"/>
    </xf>
    <xf borderId="0" fillId="6" fontId="2" numFmtId="0" xfId="0" applyAlignment="1" applyFill="1" applyFont="1">
      <alignment shrinkToFit="0" vertical="center" wrapText="1"/>
    </xf>
    <xf borderId="1" fillId="2" fontId="6" numFmtId="0" xfId="0" applyAlignment="1" applyBorder="1" applyFill="1" applyFont="1">
      <alignment horizontal="left" readingOrder="0" shrinkToFit="0" vertical="center" wrapText="1"/>
    </xf>
    <xf borderId="1" fillId="2" fontId="6" numFmtId="0" xfId="0" applyAlignment="1" applyBorder="1" applyFill="1" applyFont="1">
      <alignment horizontal="right" readingOrder="0" shrinkToFit="0" vertical="center" wrapText="1"/>
    </xf>
    <xf borderId="1" fillId="2" fontId="11" numFmtId="0" xfId="0" applyAlignment="1" applyBorder="1" applyFill="1" applyFont="1">
      <alignment horizontal="center" readingOrder="0" shrinkToFit="0" vertical="center" wrapText="1"/>
    </xf>
    <xf borderId="1" fillId="2" fontId="11" numFmtId="0" xfId="0" applyAlignment="1" applyBorder="1" applyFill="1" applyFont="1">
      <alignment readingOrder="0" shrinkToFit="0" vertical="center" wrapText="1"/>
    </xf>
    <xf borderId="0" fillId="2" fontId="2" numFmtId="0" xfId="0" applyAlignment="1" applyFill="1" applyFont="1">
      <alignment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14" fontId="6" numFmtId="0" xfId="0" applyAlignment="1" applyBorder="1" applyFill="1" applyFont="1">
      <alignment horizontal="left" readingOrder="0" shrinkToFit="0" vertical="center" wrapText="1"/>
    </xf>
    <xf borderId="1" fillId="14" fontId="6" numFmtId="0" xfId="0" applyAlignment="1" applyBorder="1" applyFill="1" applyFont="1">
      <alignment horizontal="right" readingOrder="0" shrinkToFit="0" vertical="center" wrapText="1"/>
    </xf>
    <xf borderId="1" fillId="14" fontId="11" numFmtId="0" xfId="0" applyAlignment="1" applyBorder="1" applyFill="1" applyFont="1">
      <alignment horizontal="center" readingOrder="0" shrinkToFit="0" vertical="center" wrapText="1"/>
    </xf>
    <xf borderId="1" fillId="14" fontId="11" numFmtId="0" xfId="0" applyAlignment="1" applyBorder="1" applyFill="1" applyFont="1">
      <alignment readingOrder="0" shrinkToFit="0" vertical="center" wrapText="1"/>
    </xf>
    <xf borderId="0" fillId="14" fontId="2" numFmtId="0" xfId="0" applyAlignment="1" applyFill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26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9" fontId="6" numFmtId="0" xfId="0" applyAlignment="1" applyBorder="1" applyFill="1" applyFont="1">
      <alignment horizontal="left" readingOrder="0" shrinkToFit="0" vertical="center" wrapText="1"/>
    </xf>
    <xf borderId="1" fillId="9" fontId="6" numFmtId="0" xfId="0" applyAlignment="1" applyBorder="1" applyFill="1" applyFont="1">
      <alignment horizontal="right" readingOrder="0" shrinkToFit="0" vertical="center" wrapText="1"/>
    </xf>
    <xf borderId="1" fillId="9" fontId="17" numFmtId="0" xfId="0" applyAlignment="1" applyBorder="1" applyFill="1" applyFont="1">
      <alignment horizontal="center" readingOrder="0" shrinkToFit="0" vertical="center" wrapText="1"/>
    </xf>
    <xf borderId="1" fillId="9" fontId="11" numFmtId="0" xfId="0" applyAlignment="1" applyBorder="1" applyFill="1" applyFont="1">
      <alignment shrinkToFit="0" vertical="center" wrapText="1"/>
    </xf>
    <xf borderId="1" fillId="9" fontId="11" numFmtId="0" xfId="0" applyAlignment="1" applyBorder="1" applyFill="1" applyFont="1">
      <alignment horizontal="center" readingOrder="0" shrinkToFit="0" vertical="center" wrapText="1"/>
    </xf>
    <xf borderId="1" fillId="9" fontId="11" numFmtId="0" xfId="0" applyAlignment="1" applyBorder="1" applyFill="1" applyFont="1">
      <alignment readingOrder="0" shrinkToFit="0" vertical="center" wrapText="1"/>
    </xf>
    <xf borderId="1" fillId="15" fontId="6" numFmtId="0" xfId="0" applyAlignment="1" applyBorder="1" applyFill="1" applyFont="1">
      <alignment horizontal="left" readingOrder="0" shrinkToFit="0" vertical="center" wrapText="1"/>
    </xf>
    <xf borderId="1" fillId="15" fontId="6" numFmtId="0" xfId="0" applyAlignment="1" applyBorder="1" applyFill="1" applyFont="1">
      <alignment horizontal="right" readingOrder="0" shrinkToFit="0" vertical="center" wrapText="1"/>
    </xf>
    <xf borderId="1" fillId="15" fontId="17" numFmtId="0" xfId="0" applyAlignment="1" applyBorder="1" applyFill="1" applyFont="1">
      <alignment horizontal="center" readingOrder="0" shrinkToFit="0" vertical="center" wrapText="1"/>
    </xf>
    <xf borderId="1" fillId="15" fontId="11" numFmtId="0" xfId="0" applyAlignment="1" applyBorder="1" applyFill="1" applyFont="1">
      <alignment shrinkToFit="0" vertical="center" wrapText="1"/>
    </xf>
    <xf borderId="1" fillId="15" fontId="11" numFmtId="0" xfId="0" applyAlignment="1" applyBorder="1" applyFill="1" applyFont="1">
      <alignment horizontal="center" readingOrder="0" shrinkToFit="0" vertical="center" wrapText="1"/>
    </xf>
    <xf borderId="1" fillId="15" fontId="11" numFmtId="0" xfId="0" applyAlignment="1" applyBorder="1" applyFill="1" applyFont="1">
      <alignment readingOrder="0" shrinkToFit="0" vertical="center" wrapText="1"/>
    </xf>
    <xf borderId="0" fillId="16" fontId="2" numFmtId="0" xfId="0" applyAlignment="1" applyFill="1" applyFont="1">
      <alignment shrinkToFit="0" vertical="center" wrapText="1"/>
    </xf>
    <xf borderId="1" fillId="9" fontId="33" numFmtId="0" xfId="0" applyAlignment="1" applyBorder="1" applyFill="1" applyFont="1">
      <alignment readingOrder="0" shrinkToFit="0" vertical="center" wrapText="1"/>
    </xf>
    <xf borderId="1" fillId="16" fontId="6" numFmtId="0" xfId="0" applyAlignment="1" applyBorder="1" applyFill="1" applyFont="1">
      <alignment horizontal="left" readingOrder="0" shrinkToFit="0" vertical="center" wrapText="1"/>
    </xf>
    <xf borderId="1" fillId="16" fontId="6" numFmtId="0" xfId="0" applyAlignment="1" applyBorder="1" applyFill="1" applyFont="1">
      <alignment horizontal="right" readingOrder="0" shrinkToFit="0" vertical="center" wrapText="1"/>
    </xf>
    <xf borderId="1" fillId="16" fontId="11" numFmtId="0" xfId="0" applyAlignment="1" applyBorder="1" applyFill="1" applyFont="1">
      <alignment horizontal="center" readingOrder="0" shrinkToFit="0" vertical="center" wrapText="1"/>
    </xf>
    <xf borderId="1" fillId="16" fontId="11" numFmtId="0" xfId="0" applyAlignment="1" applyBorder="1" applyFill="1" applyFont="1">
      <alignment readingOrder="0" shrinkToFit="0" vertical="center" wrapText="1"/>
    </xf>
    <xf borderId="1" fillId="16" fontId="17" numFmtId="0" xfId="0" applyAlignment="1" applyBorder="1" applyFill="1" applyFont="1">
      <alignment horizontal="center" readingOrder="0" shrinkToFit="0" vertical="center" wrapText="1"/>
    </xf>
    <xf borderId="1" fillId="16" fontId="11" numFmtId="0" xfId="0" applyAlignment="1" applyBorder="1" applyFill="1" applyFont="1">
      <alignment shrinkToFit="0" vertical="center" wrapText="1"/>
    </xf>
    <xf borderId="0" fillId="16" fontId="11" numFmtId="0" xfId="0" applyAlignment="1" applyFill="1" applyFont="1">
      <alignment readingOrder="0" shrinkToFit="0" vertical="center" wrapText="1"/>
    </xf>
    <xf borderId="0" fillId="9" fontId="11" numFmtId="0" xfId="0" applyAlignment="1" applyFill="1" applyFont="1">
      <alignment readingOrder="0" shrinkToFit="0" vertical="center" wrapText="1"/>
    </xf>
    <xf borderId="1" fillId="8" fontId="17" numFmtId="0" xfId="0" applyAlignment="1" applyBorder="1" applyFill="1" applyFont="1">
      <alignment readingOrder="0" shrinkToFit="0" vertical="center" wrapText="1"/>
    </xf>
    <xf borderId="0" fillId="15" fontId="2" numFmtId="0" xfId="0" applyAlignment="1" applyFill="1" applyFont="1">
      <alignment shrinkToFit="0" vertical="center" wrapText="1"/>
    </xf>
    <xf borderId="1" fillId="9" fontId="17" numFmtId="0" xfId="0" applyAlignment="1" applyBorder="1" applyFill="1" applyFont="1">
      <alignment readingOrder="0" shrinkToFit="0" vertical="center" wrapText="1"/>
    </xf>
    <xf borderId="1" fillId="9" fontId="19" numFmtId="0" xfId="0" applyAlignment="1" applyBorder="1" applyFill="1" applyFont="1">
      <alignment readingOrder="0"/>
    </xf>
    <xf borderId="1" fillId="9" fontId="18" numFmtId="0" xfId="0" applyAlignment="1" applyBorder="1" applyFill="1" applyFont="1">
      <alignment horizontal="right" readingOrder="0"/>
    </xf>
    <xf borderId="1" fillId="9" fontId="20" numFmtId="0" xfId="0" applyAlignment="1" applyBorder="1" applyFill="1" applyFont="1">
      <alignment horizontal="left" readingOrder="0"/>
    </xf>
    <xf borderId="1" fillId="9" fontId="34" numFmtId="0" xfId="0" applyAlignment="1" applyBorder="1" applyFill="1" applyFont="1">
      <alignment readingOrder="0"/>
    </xf>
    <xf borderId="1" fillId="9" fontId="22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horizontal="left" readingOrder="0" shrinkToFit="0" vertical="center" wrapText="1"/>
    </xf>
    <xf borderId="1" fillId="6" fontId="6" numFmtId="0" xfId="0" applyAlignment="1" applyBorder="1" applyFill="1" applyFont="1">
      <alignment horizontal="right" readingOrder="0" shrinkToFit="0" vertical="center" wrapText="1"/>
    </xf>
    <xf borderId="1" fillId="6" fontId="11" numFmtId="0" xfId="0" applyAlignment="1" applyBorder="1" applyFill="1" applyFont="1">
      <alignment horizontal="center" readingOrder="0" shrinkToFit="0" vertical="center" wrapText="1"/>
    </xf>
    <xf borderId="1" fillId="6" fontId="11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wrapText="0"/>
    </xf>
    <xf borderId="3" fillId="0" fontId="4" numFmtId="0" xfId="0" applyAlignment="1" applyBorder="1" applyFont="1">
      <alignment horizontal="left" readingOrder="0" shrinkToFit="0" wrapText="0"/>
    </xf>
    <xf borderId="1" fillId="0" fontId="35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right" readingOrder="0" shrinkToFit="0" wrapText="0"/>
    </xf>
    <xf borderId="5" fillId="0" fontId="6" numFmtId="0" xfId="0" applyAlignment="1" applyBorder="1" applyFont="1">
      <alignment shrinkToFit="0" wrapText="0"/>
    </xf>
    <xf borderId="1" fillId="3" fontId="36" numFmtId="0" xfId="0" applyAlignment="1" applyBorder="1" applyFill="1" applyFont="1">
      <alignment horizontal="left" readingOrder="0" shrinkToFit="0" wrapText="0"/>
    </xf>
    <xf borderId="1" fillId="3" fontId="36" numFmtId="0" xfId="0" applyAlignment="1" applyBorder="1" applyFill="1" applyFont="1">
      <alignment horizontal="right" readingOrder="0" shrinkToFit="0" wrapText="0"/>
    </xf>
    <xf borderId="5" fillId="3" fontId="26" numFmtId="0" xfId="0" applyAlignment="1" applyBorder="1" applyFill="1" applyFont="1">
      <alignment shrinkToFit="0" wrapText="0"/>
    </xf>
    <xf borderId="1" fillId="3" fontId="26" numFmtId="0" xfId="0" applyAlignment="1" applyBorder="1" applyFill="1" applyFont="1">
      <alignment horizontal="left" readingOrder="0" shrinkToFit="0" wrapText="0"/>
    </xf>
    <xf borderId="1" fillId="3" fontId="37" numFmtId="0" xfId="0" applyAlignment="1" applyBorder="1" applyFill="1" applyFont="1">
      <alignment horizontal="right" readingOrder="0" shrinkToFit="0" wrapText="0"/>
    </xf>
    <xf borderId="5" fillId="3" fontId="37" numFmtId="0" xfId="0" applyAlignment="1" applyBorder="1" applyFill="1" applyFont="1">
      <alignment horizontal="right" readingOrder="0" shrinkToFit="0" wrapText="0"/>
    </xf>
    <xf borderId="1" fillId="3" fontId="26" numFmtId="0" xfId="0" applyAlignment="1" applyBorder="1" applyFill="1" applyFont="1">
      <alignment shrinkToFit="0" wrapText="0"/>
    </xf>
    <xf borderId="6" fillId="3" fontId="36" numFmtId="0" xfId="0" applyAlignment="1" applyBorder="1" applyFill="1" applyFont="1">
      <alignment horizontal="left" readingOrder="0" shrinkToFit="0" wrapText="0"/>
    </xf>
    <xf borderId="1" fillId="3" fontId="38" numFmtId="0" xfId="0" applyAlignment="1" applyBorder="1" applyFill="1" applyFont="1">
      <alignment horizontal="left" readingOrder="0" shrinkToFit="0" wrapText="0"/>
    </xf>
    <xf borderId="1" fillId="3" fontId="6" numFmtId="0" xfId="0" applyAlignment="1" applyBorder="1" applyFill="1" applyFont="1">
      <alignment horizontal="right" readingOrder="0" shrinkToFit="0" wrapText="0"/>
    </xf>
    <xf borderId="5" fillId="3" fontId="37" numFmtId="0" xfId="0" applyAlignment="1" applyBorder="1" applyFill="1" applyFont="1">
      <alignment shrinkToFit="0" wrapText="0"/>
    </xf>
    <xf borderId="1" fillId="3" fontId="39" numFmtId="0" xfId="0" applyAlignment="1" applyBorder="1" applyFill="1" applyFont="1">
      <alignment horizontal="left" readingOrder="0" shrinkToFit="0" wrapText="0"/>
    </xf>
    <xf borderId="1" fillId="3" fontId="40" numFmtId="0" xfId="0" applyAlignment="1" applyBorder="1" applyFill="1" applyFont="1">
      <alignment horizontal="left" readingOrder="0" shrinkToFit="0" wrapText="0"/>
    </xf>
    <xf borderId="3" fillId="3" fontId="37" numFmtId="0" xfId="0" applyAlignment="1" applyBorder="1" applyFill="1" applyFont="1">
      <alignment shrinkToFit="0" wrapText="0"/>
    </xf>
    <xf borderId="1" fillId="0" fontId="39" numFmtId="0" xfId="0" applyAlignment="1" applyBorder="1" applyFont="1">
      <alignment horizontal="left" readingOrder="0" shrinkToFit="0" wrapText="0"/>
    </xf>
    <xf borderId="1" fillId="0" fontId="26" numFmtId="0" xfId="0" applyAlignment="1" applyBorder="1" applyFont="1">
      <alignment horizontal="right" readingOrder="0" shrinkToFit="0" wrapText="0"/>
    </xf>
    <xf borderId="1" fillId="0" fontId="26" numFmtId="0" xfId="0" applyAlignment="1" applyBorder="1" applyFont="1">
      <alignment shrinkToFit="0" wrapText="0"/>
    </xf>
    <xf borderId="2" fillId="0" fontId="5" numFmtId="0" xfId="0" applyAlignment="1" applyBorder="1" applyFont="1">
      <alignment readingOrder="0" vertical="center"/>
    </xf>
    <xf borderId="0" fillId="0" fontId="25" numFmtId="0" xfId="0" applyAlignment="1" applyFont="1">
      <alignment shrinkToFit="0" vertical="center" wrapText="1"/>
    </xf>
    <xf borderId="0" fillId="6" fontId="11" numFmtId="0" xfId="0" applyAlignment="1" applyFill="1" applyFont="1">
      <alignment readingOrder="0" shrinkToFit="0" vertical="center" wrapText="1"/>
    </xf>
    <xf borderId="1" fillId="17" fontId="6" numFmtId="0" xfId="0" applyAlignment="1" applyBorder="1" applyFill="1" applyFont="1">
      <alignment horizontal="left" readingOrder="0" shrinkToFit="0" vertical="center" wrapText="1"/>
    </xf>
    <xf borderId="1" fillId="17" fontId="6" numFmtId="0" xfId="0" applyAlignment="1" applyBorder="1" applyFill="1" applyFont="1">
      <alignment horizontal="right" readingOrder="0" shrinkToFit="0" vertical="center" wrapText="1"/>
    </xf>
    <xf borderId="1" fillId="17" fontId="11" numFmtId="0" xfId="0" applyAlignment="1" applyBorder="1" applyFill="1" applyFont="1">
      <alignment horizontal="center" readingOrder="0" shrinkToFit="0" vertical="center" wrapText="1"/>
    </xf>
    <xf borderId="1" fillId="17" fontId="11" numFmtId="0" xfId="0" applyAlignment="1" applyBorder="1" applyFill="1" applyFont="1">
      <alignment readingOrder="0" shrinkToFit="0" vertical="center" wrapText="1"/>
    </xf>
    <xf borderId="0" fillId="17" fontId="2" numFmtId="0" xfId="0" applyAlignment="1" applyFill="1" applyFont="1">
      <alignment shrinkToFit="0" vertical="center" wrapText="1"/>
    </xf>
    <xf borderId="1" fillId="17" fontId="17" numFmtId="0" xfId="0" applyAlignment="1" applyBorder="1" applyFill="1" applyFont="1">
      <alignment horizontal="center" readingOrder="0" shrinkToFit="0" vertical="center" wrapText="1"/>
    </xf>
    <xf borderId="1" fillId="17" fontId="29" numFmtId="0" xfId="0" applyAlignment="1" applyBorder="1" applyFill="1" applyFont="1">
      <alignment readingOrder="0"/>
    </xf>
    <xf borderId="1" fillId="17" fontId="18" numFmtId="0" xfId="0" applyAlignment="1" applyBorder="1" applyFill="1" applyFont="1">
      <alignment horizontal="right" readingOrder="0"/>
    </xf>
    <xf borderId="1" fillId="18" fontId="6" numFmtId="0" xfId="0" applyAlignment="1" applyBorder="1" applyFill="1" applyFont="1">
      <alignment horizontal="left" readingOrder="0" shrinkToFit="0" vertical="center" wrapText="1"/>
    </xf>
    <xf borderId="1" fillId="18" fontId="6" numFmtId="0" xfId="0" applyAlignment="1" applyBorder="1" applyFill="1" applyFont="1">
      <alignment horizontal="right" readingOrder="0" shrinkToFit="0" vertical="center" wrapText="1"/>
    </xf>
    <xf borderId="1" fillId="18" fontId="11" numFmtId="0" xfId="0" applyAlignment="1" applyBorder="1" applyFill="1" applyFont="1">
      <alignment horizontal="center" readingOrder="0" shrinkToFit="0" vertical="center" wrapText="1"/>
    </xf>
    <xf borderId="1" fillId="18" fontId="11" numFmtId="0" xfId="0" applyAlignment="1" applyBorder="1" applyFill="1" applyFont="1">
      <alignment readingOrder="0" shrinkToFit="0" vertical="center" wrapText="1"/>
    </xf>
    <xf borderId="0" fillId="18" fontId="2" numFmtId="0" xfId="0" applyAlignment="1" applyFill="1" applyFont="1">
      <alignment shrinkToFit="0" vertical="center" wrapText="1"/>
    </xf>
    <xf borderId="0" fillId="8" fontId="11" numFmtId="0" xfId="0" applyAlignment="1" applyFill="1" applyFont="1">
      <alignment shrinkToFit="0" vertical="center" wrapText="1"/>
    </xf>
    <xf borderId="2" fillId="0" fontId="41" numFmtId="0" xfId="0" applyAlignment="1" applyBorder="1" applyFont="1">
      <alignment readingOrder="0" shrinkToFit="0" vertical="center" wrapText="1"/>
    </xf>
    <xf borderId="1" fillId="0" fontId="42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shrinkToFit="0" vertical="center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24C11020@student.hcmus.edu.vn" TargetMode="External"/><Relationship Id="rId2" Type="http://schemas.openxmlformats.org/officeDocument/2006/relationships/hyperlink" Target="mailto:tan.vonhatcse@hcmut.edu.vn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24C11020@student.hcmus.edu.vn" TargetMode="External"/><Relationship Id="rId2" Type="http://schemas.openxmlformats.org/officeDocument/2006/relationships/hyperlink" Target="mailto:tan.vonhatcse@hcmut.edu.vn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3.67"/>
    <col customWidth="1" min="2" max="2" width="8.11"/>
    <col customWidth="1" min="3" max="3" width="33.33"/>
    <col customWidth="1" min="4" max="4" width="63.22"/>
    <col customWidth="1" min="5" max="5" width="11.44"/>
    <col customWidth="1" min="6" max="6" width="10.44"/>
    <col customWidth="1" min="8" max="8" width="24.67"/>
  </cols>
  <sheetData>
    <row r="1" ht="28.5" customHeight="1">
      <c r="A1" s="5"/>
      <c r="B1" s="5" t="s">
        <v>5</v>
      </c>
      <c r="C1" s="8" t="s">
        <v>9</v>
      </c>
      <c r="D1" s="5" t="s">
        <v>12</v>
      </c>
      <c r="E1" s="12" t="s">
        <v>14</v>
      </c>
      <c r="F1" s="13" t="s">
        <v>19</v>
      </c>
      <c r="G1" s="13" t="s">
        <v>21</v>
      </c>
      <c r="H1" s="13" t="s">
        <v>23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8" t="s">
        <v>26</v>
      </c>
      <c r="B2" s="18">
        <v>156.0</v>
      </c>
      <c r="C2" s="8" t="s">
        <v>29</v>
      </c>
      <c r="D2" s="8" t="s">
        <v>30</v>
      </c>
      <c r="E2" s="21">
        <v>1.0</v>
      </c>
      <c r="F2" s="23" t="s">
        <v>31</v>
      </c>
      <c r="G2" s="23" t="s">
        <v>32</v>
      </c>
      <c r="H2" s="23" t="s">
        <v>33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8" t="s">
        <v>34</v>
      </c>
      <c r="B3" s="18">
        <v>196.0</v>
      </c>
      <c r="C3" s="8" t="s">
        <v>29</v>
      </c>
      <c r="D3" s="8" t="s">
        <v>36</v>
      </c>
      <c r="E3" s="21">
        <v>1.0</v>
      </c>
      <c r="F3" s="23" t="s">
        <v>37</v>
      </c>
      <c r="G3" s="23" t="s">
        <v>38</v>
      </c>
      <c r="H3" s="23" t="s">
        <v>39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idden="1">
      <c r="A4" s="8" t="s">
        <v>40</v>
      </c>
      <c r="B4" s="18">
        <v>209.0</v>
      </c>
      <c r="C4" s="8" t="s">
        <v>29</v>
      </c>
      <c r="D4" s="8" t="s">
        <v>41</v>
      </c>
      <c r="E4" s="21">
        <v>0.0</v>
      </c>
      <c r="F4" s="27"/>
      <c r="G4" s="27"/>
      <c r="H4" s="27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8" t="s">
        <v>50</v>
      </c>
      <c r="B5" s="18">
        <v>220.0</v>
      </c>
      <c r="C5" s="8" t="s">
        <v>29</v>
      </c>
      <c r="D5" s="8" t="s">
        <v>51</v>
      </c>
      <c r="E5" s="21">
        <v>1.0</v>
      </c>
      <c r="F5" s="23" t="s">
        <v>52</v>
      </c>
      <c r="G5" s="23" t="s">
        <v>53</v>
      </c>
      <c r="H5" s="23" t="s">
        <v>54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8" t="s">
        <v>59</v>
      </c>
      <c r="B6" s="18">
        <v>252.0</v>
      </c>
      <c r="C6" s="8" t="s">
        <v>29</v>
      </c>
      <c r="D6" s="8" t="s">
        <v>62</v>
      </c>
      <c r="E6" s="21">
        <v>1.0</v>
      </c>
      <c r="F6" s="23" t="s">
        <v>63</v>
      </c>
      <c r="G6" s="23" t="s">
        <v>65</v>
      </c>
      <c r="H6" s="23" t="s">
        <v>66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8" t="s">
        <v>69</v>
      </c>
      <c r="B7" s="18">
        <v>253.0</v>
      </c>
      <c r="C7" s="8" t="s">
        <v>29</v>
      </c>
      <c r="D7" s="8" t="s">
        <v>70</v>
      </c>
      <c r="E7" s="21">
        <v>1.0</v>
      </c>
      <c r="F7" s="23" t="s">
        <v>71</v>
      </c>
      <c r="G7" s="23" t="s">
        <v>75</v>
      </c>
      <c r="H7" s="23" t="s">
        <v>76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8" t="s">
        <v>77</v>
      </c>
      <c r="B8" s="18">
        <v>302.0</v>
      </c>
      <c r="C8" s="8" t="s">
        <v>29</v>
      </c>
      <c r="D8" s="8" t="s">
        <v>79</v>
      </c>
      <c r="E8" s="21">
        <v>1.0</v>
      </c>
      <c r="F8" s="23" t="s">
        <v>80</v>
      </c>
      <c r="G8" s="23" t="s">
        <v>81</v>
      </c>
      <c r="H8" s="23" t="s">
        <v>82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8" t="s">
        <v>83</v>
      </c>
      <c r="B9" s="18">
        <v>387.0</v>
      </c>
      <c r="C9" s="8" t="s">
        <v>29</v>
      </c>
      <c r="D9" s="8" t="s">
        <v>84</v>
      </c>
      <c r="E9" s="21">
        <v>1.0</v>
      </c>
      <c r="F9" s="23" t="s">
        <v>85</v>
      </c>
      <c r="G9" s="23" t="s">
        <v>86</v>
      </c>
      <c r="H9" s="23" t="s">
        <v>87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8" t="s">
        <v>88</v>
      </c>
      <c r="B10" s="18">
        <v>402.0</v>
      </c>
      <c r="C10" s="8" t="s">
        <v>29</v>
      </c>
      <c r="D10" s="8" t="s">
        <v>89</v>
      </c>
      <c r="E10" s="21">
        <v>1.0</v>
      </c>
      <c r="F10" s="23" t="s">
        <v>90</v>
      </c>
      <c r="G10" s="23" t="s">
        <v>92</v>
      </c>
      <c r="H10" s="23" t="s">
        <v>93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8" t="s">
        <v>95</v>
      </c>
      <c r="B11" s="18">
        <v>409.0</v>
      </c>
      <c r="C11" s="8" t="s">
        <v>29</v>
      </c>
      <c r="D11" s="8" t="s">
        <v>96</v>
      </c>
      <c r="E11" s="21">
        <v>1.0</v>
      </c>
      <c r="F11" s="23" t="s">
        <v>98</v>
      </c>
      <c r="G11" s="23" t="s">
        <v>100</v>
      </c>
      <c r="H11" s="23" t="s">
        <v>101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8" t="s">
        <v>103</v>
      </c>
      <c r="B12" s="18">
        <v>413.0</v>
      </c>
      <c r="C12" s="8" t="s">
        <v>29</v>
      </c>
      <c r="D12" s="8" t="s">
        <v>104</v>
      </c>
      <c r="E12" s="21">
        <v>1.0</v>
      </c>
      <c r="F12" s="23" t="s">
        <v>105</v>
      </c>
      <c r="G12" s="23" t="s">
        <v>106</v>
      </c>
      <c r="H12" s="23" t="s">
        <v>107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8" t="s">
        <v>108</v>
      </c>
      <c r="B13" s="18">
        <v>417.0</v>
      </c>
      <c r="C13" s="8" t="s">
        <v>29</v>
      </c>
      <c r="D13" s="8" t="s">
        <v>109</v>
      </c>
      <c r="E13" s="21">
        <v>1.0</v>
      </c>
      <c r="F13" s="23" t="s">
        <v>110</v>
      </c>
      <c r="G13" s="23" t="s">
        <v>111</v>
      </c>
      <c r="H13" s="23" t="s">
        <v>112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8" t="s">
        <v>113</v>
      </c>
      <c r="B14" s="18">
        <v>418.0</v>
      </c>
      <c r="C14" s="8" t="s">
        <v>29</v>
      </c>
      <c r="D14" s="8" t="s">
        <v>114</v>
      </c>
      <c r="E14" s="21">
        <v>1.0</v>
      </c>
      <c r="F14" s="23" t="s">
        <v>115</v>
      </c>
      <c r="G14" s="23" t="s">
        <v>116</v>
      </c>
      <c r="H14" s="23" t="s">
        <v>117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8" t="s">
        <v>118</v>
      </c>
      <c r="B15" s="18">
        <v>388.0</v>
      </c>
      <c r="C15" s="8" t="s">
        <v>119</v>
      </c>
      <c r="D15" s="8" t="s">
        <v>120</v>
      </c>
      <c r="E15" s="21">
        <v>1.0</v>
      </c>
      <c r="F15" s="23" t="s">
        <v>121</v>
      </c>
      <c r="G15" s="23" t="s">
        <v>86</v>
      </c>
      <c r="H15" s="23" t="s">
        <v>122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8" t="s">
        <v>123</v>
      </c>
      <c r="B16" s="18">
        <v>404.0</v>
      </c>
      <c r="C16" s="8" t="s">
        <v>124</v>
      </c>
      <c r="D16" s="8" t="s">
        <v>125</v>
      </c>
      <c r="E16" s="21">
        <v>1.0</v>
      </c>
      <c r="F16" s="23" t="s">
        <v>126</v>
      </c>
      <c r="G16" s="23" t="s">
        <v>127</v>
      </c>
      <c r="H16" s="23" t="s">
        <v>128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8" t="s">
        <v>130</v>
      </c>
      <c r="B17" s="18">
        <v>405.0</v>
      </c>
      <c r="C17" s="8" t="s">
        <v>124</v>
      </c>
      <c r="D17" s="8" t="s">
        <v>131</v>
      </c>
      <c r="E17" s="21">
        <v>1.0</v>
      </c>
      <c r="F17" s="23" t="s">
        <v>132</v>
      </c>
      <c r="G17" s="23" t="s">
        <v>134</v>
      </c>
      <c r="H17" s="23" t="s">
        <v>135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44" t="s">
        <v>136</v>
      </c>
      <c r="B18" s="44">
        <v>238.0</v>
      </c>
      <c r="C18" s="46" t="s">
        <v>137</v>
      </c>
      <c r="D18" s="44" t="s">
        <v>138</v>
      </c>
      <c r="E18" s="48">
        <v>1.0</v>
      </c>
      <c r="F18" s="50" t="s">
        <v>139</v>
      </c>
      <c r="G18" s="50" t="s">
        <v>140</v>
      </c>
      <c r="H18" s="50" t="s">
        <v>141</v>
      </c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2" t="s">
        <v>78</v>
      </c>
      <c r="B19" s="52">
        <v>117.0</v>
      </c>
      <c r="C19" s="46" t="s">
        <v>146</v>
      </c>
      <c r="D19" s="46" t="s">
        <v>147</v>
      </c>
      <c r="E19" s="48">
        <v>1.0</v>
      </c>
      <c r="F19" s="55" t="s">
        <v>148</v>
      </c>
      <c r="G19" s="55" t="s">
        <v>149</v>
      </c>
      <c r="H19" s="55" t="s">
        <v>150</v>
      </c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2" t="s">
        <v>72</v>
      </c>
      <c r="B20" s="52">
        <v>146.0</v>
      </c>
      <c r="C20" s="46" t="s">
        <v>146</v>
      </c>
      <c r="D20" s="46" t="s">
        <v>147</v>
      </c>
      <c r="E20" s="48">
        <v>1.0</v>
      </c>
      <c r="F20" s="58" t="s">
        <v>153</v>
      </c>
      <c r="G20" s="58" t="s">
        <v>154</v>
      </c>
      <c r="H20" s="58" t="s">
        <v>155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2" t="s">
        <v>91</v>
      </c>
      <c r="B21" s="52">
        <v>149.0</v>
      </c>
      <c r="C21" s="46" t="s">
        <v>146</v>
      </c>
      <c r="D21" s="46" t="s">
        <v>147</v>
      </c>
      <c r="E21" s="48">
        <v>1.0</v>
      </c>
      <c r="F21" s="50" t="s">
        <v>157</v>
      </c>
      <c r="G21" s="50" t="s">
        <v>158</v>
      </c>
      <c r="H21" s="50" t="s">
        <v>159</v>
      </c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idden="1">
      <c r="A22" s="38" t="s">
        <v>97</v>
      </c>
      <c r="B22" s="38" t="s">
        <v>164</v>
      </c>
      <c r="C22" s="38" t="s">
        <v>73</v>
      </c>
      <c r="D22" s="7"/>
      <c r="E22" s="60" t="s">
        <v>167</v>
      </c>
      <c r="F22" s="7"/>
      <c r="G22" s="7"/>
      <c r="H22" s="7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46" t="s">
        <v>64</v>
      </c>
      <c r="B23" s="44">
        <v>222.0</v>
      </c>
      <c r="C23" s="46" t="s">
        <v>146</v>
      </c>
      <c r="D23" s="46" t="s">
        <v>68</v>
      </c>
      <c r="E23" s="48">
        <v>1.0</v>
      </c>
      <c r="F23" s="50" t="s">
        <v>169</v>
      </c>
      <c r="G23" s="50" t="s">
        <v>170</v>
      </c>
      <c r="H23" s="50" t="s">
        <v>171</v>
      </c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8" t="s">
        <v>165</v>
      </c>
      <c r="B24" s="18">
        <v>4.0</v>
      </c>
      <c r="C24" s="8" t="s">
        <v>173</v>
      </c>
      <c r="D24" s="8" t="s">
        <v>174</v>
      </c>
      <c r="E24" s="62">
        <v>1.0</v>
      </c>
      <c r="F24" s="63" t="s">
        <v>177</v>
      </c>
      <c r="G24" s="63" t="s">
        <v>179</v>
      </c>
      <c r="H24" s="63" t="s">
        <v>180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8" t="s">
        <v>168</v>
      </c>
      <c r="B25" s="18">
        <v>6.0</v>
      </c>
      <c r="C25" s="8" t="s">
        <v>173</v>
      </c>
      <c r="D25" s="8" t="s">
        <v>181</v>
      </c>
      <c r="E25" s="21">
        <v>1.0</v>
      </c>
      <c r="F25" s="23" t="s">
        <v>182</v>
      </c>
      <c r="G25" s="23" t="s">
        <v>183</v>
      </c>
      <c r="H25" s="23" t="s">
        <v>185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8" t="s">
        <v>187</v>
      </c>
      <c r="B26" s="18">
        <v>9.0</v>
      </c>
      <c r="C26" s="8" t="s">
        <v>173</v>
      </c>
      <c r="D26" s="8" t="s">
        <v>174</v>
      </c>
      <c r="E26" s="62">
        <v>1.0</v>
      </c>
      <c r="F26" s="63" t="s">
        <v>188</v>
      </c>
      <c r="G26" s="63" t="s">
        <v>189</v>
      </c>
      <c r="H26" s="63" t="s">
        <v>190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8" t="s">
        <v>191</v>
      </c>
      <c r="B27" s="18">
        <v>10.0</v>
      </c>
      <c r="C27" s="8" t="s">
        <v>173</v>
      </c>
      <c r="D27" s="8" t="s">
        <v>193</v>
      </c>
      <c r="E27" s="21">
        <v>1.0</v>
      </c>
      <c r="F27" s="23" t="s">
        <v>194</v>
      </c>
      <c r="G27" s="23" t="s">
        <v>195</v>
      </c>
      <c r="H27" s="23" t="s">
        <v>196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8" t="s">
        <v>197</v>
      </c>
      <c r="B28" s="18">
        <v>11.0</v>
      </c>
      <c r="C28" s="8" t="s">
        <v>173</v>
      </c>
      <c r="D28" s="8" t="s">
        <v>198</v>
      </c>
      <c r="E28" s="21">
        <v>1.0</v>
      </c>
      <c r="F28" s="23" t="s">
        <v>199</v>
      </c>
      <c r="G28" s="23" t="s">
        <v>200</v>
      </c>
      <c r="H28" s="23" t="s">
        <v>201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8" t="s">
        <v>143</v>
      </c>
      <c r="B29" s="18">
        <v>12.0</v>
      </c>
      <c r="C29" s="8" t="s">
        <v>173</v>
      </c>
      <c r="D29" s="8" t="s">
        <v>203</v>
      </c>
      <c r="E29" s="21">
        <v>1.0</v>
      </c>
      <c r="F29" s="23" t="s">
        <v>204</v>
      </c>
      <c r="G29" s="23" t="s">
        <v>205</v>
      </c>
      <c r="H29" s="23" t="s">
        <v>206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8" t="s">
        <v>207</v>
      </c>
      <c r="B30" s="18">
        <v>13.0</v>
      </c>
      <c r="C30" s="8" t="s">
        <v>173</v>
      </c>
      <c r="D30" s="8" t="s">
        <v>209</v>
      </c>
      <c r="E30" s="21">
        <v>1.0</v>
      </c>
      <c r="F30" s="23" t="s">
        <v>210</v>
      </c>
      <c r="G30" s="23" t="s">
        <v>38</v>
      </c>
      <c r="H30" s="23" t="s">
        <v>211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8" t="s">
        <v>213</v>
      </c>
      <c r="B31" s="18">
        <v>17.0</v>
      </c>
      <c r="C31" s="8" t="s">
        <v>173</v>
      </c>
      <c r="D31" s="8" t="s">
        <v>214</v>
      </c>
      <c r="E31" s="21">
        <v>1.0</v>
      </c>
      <c r="F31" s="23" t="s">
        <v>215</v>
      </c>
      <c r="G31" s="23" t="s">
        <v>216</v>
      </c>
      <c r="H31" s="23" t="s">
        <v>218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8" t="s">
        <v>219</v>
      </c>
      <c r="B32" s="18">
        <v>21.0</v>
      </c>
      <c r="C32" s="8" t="s">
        <v>173</v>
      </c>
      <c r="D32" s="8" t="s">
        <v>220</v>
      </c>
      <c r="E32" s="21">
        <v>1.0</v>
      </c>
      <c r="F32" s="23" t="s">
        <v>221</v>
      </c>
      <c r="G32" s="23" t="s">
        <v>222</v>
      </c>
      <c r="H32" s="23" t="s">
        <v>224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8" t="s">
        <v>226</v>
      </c>
      <c r="B33" s="18">
        <v>28.0</v>
      </c>
      <c r="C33" s="8" t="s">
        <v>173</v>
      </c>
      <c r="D33" s="8" t="s">
        <v>227</v>
      </c>
      <c r="E33" s="21">
        <v>1.0</v>
      </c>
      <c r="F33" s="23" t="s">
        <v>229</v>
      </c>
      <c r="G33" s="23" t="s">
        <v>200</v>
      </c>
      <c r="H33" s="23" t="s">
        <v>230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8" t="s">
        <v>231</v>
      </c>
      <c r="B34" s="18">
        <v>36.0</v>
      </c>
      <c r="C34" s="8" t="s">
        <v>173</v>
      </c>
      <c r="D34" s="8" t="s">
        <v>232</v>
      </c>
      <c r="E34" s="21">
        <v>1.0</v>
      </c>
      <c r="F34" s="23" t="s">
        <v>233</v>
      </c>
      <c r="G34" s="23" t="s">
        <v>234</v>
      </c>
      <c r="H34" s="23" t="s">
        <v>235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8" t="s">
        <v>236</v>
      </c>
      <c r="B35" s="18">
        <v>39.0</v>
      </c>
      <c r="C35" s="8" t="s">
        <v>173</v>
      </c>
      <c r="D35" s="8" t="s">
        <v>237</v>
      </c>
      <c r="E35" s="21">
        <v>1.0</v>
      </c>
      <c r="F35" s="23" t="s">
        <v>239</v>
      </c>
      <c r="G35" s="23" t="s">
        <v>240</v>
      </c>
      <c r="H35" s="23" t="s">
        <v>241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8" t="s">
        <v>243</v>
      </c>
      <c r="B36" s="18">
        <v>41.0</v>
      </c>
      <c r="C36" s="8" t="s">
        <v>173</v>
      </c>
      <c r="D36" s="8" t="s">
        <v>244</v>
      </c>
      <c r="E36" s="21">
        <v>1.0</v>
      </c>
      <c r="F36" s="23" t="s">
        <v>246</v>
      </c>
      <c r="G36" s="23" t="s">
        <v>247</v>
      </c>
      <c r="H36" s="23" t="s">
        <v>248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8" t="s">
        <v>249</v>
      </c>
      <c r="B37" s="18">
        <v>42.0</v>
      </c>
      <c r="C37" s="8" t="s">
        <v>173</v>
      </c>
      <c r="D37" s="8" t="s">
        <v>250</v>
      </c>
      <c r="E37" s="21">
        <v>1.0</v>
      </c>
      <c r="F37" s="23" t="s">
        <v>251</v>
      </c>
      <c r="G37" s="23" t="s">
        <v>252</v>
      </c>
      <c r="H37" s="23" t="s">
        <v>253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8" t="s">
        <v>255</v>
      </c>
      <c r="B38" s="18">
        <v>44.0</v>
      </c>
      <c r="C38" s="8" t="s">
        <v>173</v>
      </c>
      <c r="D38" s="8" t="s">
        <v>256</v>
      </c>
      <c r="E38" s="21">
        <v>1.0</v>
      </c>
      <c r="F38" s="23" t="s">
        <v>257</v>
      </c>
      <c r="G38" s="23" t="s">
        <v>258</v>
      </c>
      <c r="H38" s="23" t="s">
        <v>259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8" t="s">
        <v>261</v>
      </c>
      <c r="B39" s="18">
        <v>47.0</v>
      </c>
      <c r="C39" s="8" t="s">
        <v>173</v>
      </c>
      <c r="D39" s="8" t="s">
        <v>262</v>
      </c>
      <c r="E39" s="21">
        <v>1.0</v>
      </c>
      <c r="F39" s="23" t="s">
        <v>264</v>
      </c>
      <c r="G39" s="23" t="s">
        <v>179</v>
      </c>
      <c r="H39" s="23" t="s">
        <v>265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8" t="s">
        <v>266</v>
      </c>
      <c r="B40" s="18">
        <v>50.0</v>
      </c>
      <c r="C40" s="8" t="s">
        <v>173</v>
      </c>
      <c r="D40" s="8" t="s">
        <v>267</v>
      </c>
      <c r="E40" s="21">
        <v>1.0</v>
      </c>
      <c r="F40" s="23" t="s">
        <v>268</v>
      </c>
      <c r="G40" s="23" t="s">
        <v>269</v>
      </c>
      <c r="H40" s="23" t="s">
        <v>270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8" t="s">
        <v>273</v>
      </c>
      <c r="B41" s="18">
        <v>53.0</v>
      </c>
      <c r="C41" s="8" t="s">
        <v>173</v>
      </c>
      <c r="D41" s="8" t="s">
        <v>274</v>
      </c>
      <c r="E41" s="21">
        <v>1.0</v>
      </c>
      <c r="F41" s="23" t="s">
        <v>275</v>
      </c>
      <c r="G41" s="23" t="s">
        <v>81</v>
      </c>
      <c r="H41" s="23" t="s">
        <v>276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8" t="s">
        <v>279</v>
      </c>
      <c r="B42" s="18">
        <v>56.0</v>
      </c>
      <c r="C42" s="8" t="s">
        <v>173</v>
      </c>
      <c r="D42" s="8" t="s">
        <v>280</v>
      </c>
      <c r="E42" s="21">
        <v>1.0</v>
      </c>
      <c r="F42" s="23" t="s">
        <v>281</v>
      </c>
      <c r="G42" s="23" t="s">
        <v>195</v>
      </c>
      <c r="H42" s="23" t="s">
        <v>282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8" t="s">
        <v>283</v>
      </c>
      <c r="B43" s="18">
        <v>59.0</v>
      </c>
      <c r="C43" s="8" t="s">
        <v>173</v>
      </c>
      <c r="D43" s="8" t="s">
        <v>285</v>
      </c>
      <c r="E43" s="21">
        <v>1.0</v>
      </c>
      <c r="F43" s="23" t="s">
        <v>286</v>
      </c>
      <c r="G43" s="23" t="s">
        <v>287</v>
      </c>
      <c r="H43" s="23" t="s">
        <v>288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8" t="s">
        <v>289</v>
      </c>
      <c r="B44" s="18">
        <v>62.0</v>
      </c>
      <c r="C44" s="8" t="s">
        <v>173</v>
      </c>
      <c r="D44" s="8" t="s">
        <v>290</v>
      </c>
      <c r="E44" s="21">
        <v>1.0</v>
      </c>
      <c r="F44" s="23" t="s">
        <v>291</v>
      </c>
      <c r="G44" s="23" t="s">
        <v>234</v>
      </c>
      <c r="H44" s="23" t="s">
        <v>292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8" t="s">
        <v>293</v>
      </c>
      <c r="B45" s="18">
        <v>68.0</v>
      </c>
      <c r="C45" s="8" t="s">
        <v>173</v>
      </c>
      <c r="D45" s="8" t="s">
        <v>294</v>
      </c>
      <c r="E45" s="62">
        <v>1.0</v>
      </c>
      <c r="F45" s="63" t="s">
        <v>295</v>
      </c>
      <c r="G45" s="63" t="s">
        <v>296</v>
      </c>
      <c r="H45" s="63" t="s">
        <v>297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8" t="s">
        <v>298</v>
      </c>
      <c r="B46" s="18">
        <v>72.0</v>
      </c>
      <c r="C46" s="8" t="s">
        <v>173</v>
      </c>
      <c r="D46" s="8" t="s">
        <v>299</v>
      </c>
      <c r="E46" s="21">
        <v>1.0</v>
      </c>
      <c r="F46" s="23" t="s">
        <v>301</v>
      </c>
      <c r="G46" s="23" t="s">
        <v>302</v>
      </c>
      <c r="H46" s="23" t="s">
        <v>303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8" t="s">
        <v>305</v>
      </c>
      <c r="B47" s="18">
        <v>74.0</v>
      </c>
      <c r="C47" s="8" t="s">
        <v>173</v>
      </c>
      <c r="D47" s="8" t="s">
        <v>306</v>
      </c>
      <c r="E47" s="62">
        <v>1.0</v>
      </c>
      <c r="F47" s="63" t="s">
        <v>307</v>
      </c>
      <c r="G47" s="63" t="s">
        <v>309</v>
      </c>
      <c r="H47" s="63" t="s">
        <v>310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8" t="s">
        <v>311</v>
      </c>
      <c r="B48" s="18">
        <v>77.0</v>
      </c>
      <c r="C48" s="8" t="s">
        <v>173</v>
      </c>
      <c r="D48" s="8" t="s">
        <v>312</v>
      </c>
      <c r="E48" s="21">
        <v>1.0</v>
      </c>
      <c r="F48" s="23" t="s">
        <v>313</v>
      </c>
      <c r="G48" s="23" t="s">
        <v>314</v>
      </c>
      <c r="H48" s="23" t="s">
        <v>315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8" t="s">
        <v>317</v>
      </c>
      <c r="B49" s="18">
        <v>83.0</v>
      </c>
      <c r="C49" s="8" t="s">
        <v>173</v>
      </c>
      <c r="D49" s="8" t="s">
        <v>318</v>
      </c>
      <c r="E49" s="21">
        <v>1.0</v>
      </c>
      <c r="F49" s="23" t="s">
        <v>319</v>
      </c>
      <c r="G49" s="23" t="s">
        <v>86</v>
      </c>
      <c r="H49" s="23" t="s">
        <v>320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8" t="s">
        <v>322</v>
      </c>
      <c r="B50" s="18">
        <v>87.0</v>
      </c>
      <c r="C50" s="8" t="s">
        <v>173</v>
      </c>
      <c r="D50" s="8" t="s">
        <v>323</v>
      </c>
      <c r="E50" s="21">
        <v>1.0</v>
      </c>
      <c r="F50" s="23" t="s">
        <v>324</v>
      </c>
      <c r="G50" s="23" t="s">
        <v>326</v>
      </c>
      <c r="H50" s="23" t="s">
        <v>327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8" t="s">
        <v>328</v>
      </c>
      <c r="B51" s="18">
        <v>89.0</v>
      </c>
      <c r="C51" s="8" t="s">
        <v>173</v>
      </c>
      <c r="D51" s="8" t="s">
        <v>329</v>
      </c>
      <c r="E51" s="21">
        <v>1.0</v>
      </c>
      <c r="F51" s="23" t="s">
        <v>330</v>
      </c>
      <c r="G51" s="23" t="s">
        <v>331</v>
      </c>
      <c r="H51" s="23" t="s">
        <v>332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8" t="s">
        <v>335</v>
      </c>
      <c r="B52" s="18">
        <v>90.0</v>
      </c>
      <c r="C52" s="8" t="s">
        <v>173</v>
      </c>
      <c r="D52" s="8" t="s">
        <v>336</v>
      </c>
      <c r="E52" s="21">
        <v>1.0</v>
      </c>
      <c r="F52" s="23" t="s">
        <v>337</v>
      </c>
      <c r="G52" s="23" t="s">
        <v>338</v>
      </c>
      <c r="H52" s="23" t="s">
        <v>339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8" t="s">
        <v>341</v>
      </c>
      <c r="B53" s="18">
        <v>91.0</v>
      </c>
      <c r="C53" s="8" t="s">
        <v>173</v>
      </c>
      <c r="D53" s="8" t="s">
        <v>342</v>
      </c>
      <c r="E53" s="21">
        <v>1.0</v>
      </c>
      <c r="F53" s="23" t="s">
        <v>343</v>
      </c>
      <c r="G53" s="23" t="s">
        <v>314</v>
      </c>
      <c r="H53" s="23" t="s">
        <v>344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8" t="s">
        <v>35</v>
      </c>
      <c r="B54" s="18">
        <v>92.0</v>
      </c>
      <c r="C54" s="8" t="s">
        <v>173</v>
      </c>
      <c r="D54" s="8" t="s">
        <v>346</v>
      </c>
      <c r="E54" s="21">
        <v>1.0</v>
      </c>
      <c r="F54" s="23" t="s">
        <v>347</v>
      </c>
      <c r="G54" s="23" t="s">
        <v>348</v>
      </c>
      <c r="H54" s="23" t="s">
        <v>349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8" t="s">
        <v>350</v>
      </c>
      <c r="B55" s="18">
        <v>98.0</v>
      </c>
      <c r="C55" s="8" t="s">
        <v>173</v>
      </c>
      <c r="D55" s="8" t="s">
        <v>351</v>
      </c>
      <c r="E55" s="21">
        <v>1.0</v>
      </c>
      <c r="F55" s="23" t="s">
        <v>352</v>
      </c>
      <c r="G55" s="23" t="s">
        <v>38</v>
      </c>
      <c r="H55" s="23" t="s">
        <v>353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8" t="s">
        <v>355</v>
      </c>
      <c r="B56" s="18">
        <v>104.0</v>
      </c>
      <c r="C56" s="8" t="s">
        <v>173</v>
      </c>
      <c r="D56" s="8" t="s">
        <v>356</v>
      </c>
      <c r="E56" s="62">
        <v>1.0</v>
      </c>
      <c r="F56" s="63" t="s">
        <v>357</v>
      </c>
      <c r="G56" s="66" t="s">
        <v>358</v>
      </c>
      <c r="H56" s="63" t="s">
        <v>359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8" t="s">
        <v>361</v>
      </c>
      <c r="B57" s="18">
        <v>107.0</v>
      </c>
      <c r="C57" s="8" t="s">
        <v>173</v>
      </c>
      <c r="D57" s="8" t="s">
        <v>363</v>
      </c>
      <c r="E57" s="21">
        <v>1.0</v>
      </c>
      <c r="F57" s="67" t="s">
        <v>365</v>
      </c>
      <c r="G57" s="67" t="s">
        <v>366</v>
      </c>
      <c r="H57" s="67" t="s">
        <v>367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8" t="s">
        <v>369</v>
      </c>
      <c r="B58" s="18">
        <v>116.0</v>
      </c>
      <c r="C58" s="8" t="s">
        <v>173</v>
      </c>
      <c r="D58" s="8" t="s">
        <v>370</v>
      </c>
      <c r="E58" s="21">
        <v>1.0</v>
      </c>
      <c r="F58" s="67" t="s">
        <v>371</v>
      </c>
      <c r="G58" s="23" t="s">
        <v>258</v>
      </c>
      <c r="H58" s="67" t="s">
        <v>372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8" t="s">
        <v>373</v>
      </c>
      <c r="B59" s="18">
        <v>129.0</v>
      </c>
      <c r="C59" s="8" t="s">
        <v>173</v>
      </c>
      <c r="D59" s="8" t="s">
        <v>374</v>
      </c>
      <c r="E59" s="21">
        <v>1.0</v>
      </c>
      <c r="F59" s="23" t="s">
        <v>375</v>
      </c>
      <c r="G59" s="23" t="s">
        <v>376</v>
      </c>
      <c r="H59" s="23" t="s">
        <v>377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8" t="s">
        <v>379</v>
      </c>
      <c r="B60" s="18">
        <v>130.0</v>
      </c>
      <c r="C60" s="8" t="s">
        <v>173</v>
      </c>
      <c r="D60" s="8" t="s">
        <v>381</v>
      </c>
      <c r="E60" s="21">
        <v>1.0</v>
      </c>
      <c r="F60" s="23" t="s">
        <v>382</v>
      </c>
      <c r="G60" s="23" t="s">
        <v>149</v>
      </c>
      <c r="H60" s="23" t="s">
        <v>383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68" t="s">
        <v>385</v>
      </c>
      <c r="B61" s="69">
        <v>143.0</v>
      </c>
      <c r="C61" s="68" t="s">
        <v>173</v>
      </c>
      <c r="D61" s="68" t="s">
        <v>386</v>
      </c>
      <c r="E61" s="70">
        <v>1.0</v>
      </c>
      <c r="F61" s="71" t="s">
        <v>387</v>
      </c>
      <c r="G61" s="72" t="s">
        <v>390</v>
      </c>
      <c r="H61" s="71" t="s">
        <v>391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 t="s">
        <v>394</v>
      </c>
      <c r="B62" s="18">
        <v>144.0</v>
      </c>
      <c r="C62" s="8" t="s">
        <v>173</v>
      </c>
      <c r="D62" s="8" t="s">
        <v>395</v>
      </c>
      <c r="E62" s="21">
        <v>1.0</v>
      </c>
      <c r="F62" s="23" t="s">
        <v>398</v>
      </c>
      <c r="G62" s="23" t="s">
        <v>399</v>
      </c>
      <c r="H62" s="23" t="s">
        <v>400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8" t="s">
        <v>401</v>
      </c>
      <c r="B63" s="18">
        <v>163.0</v>
      </c>
      <c r="C63" s="8" t="s">
        <v>173</v>
      </c>
      <c r="D63" s="8" t="s">
        <v>402</v>
      </c>
      <c r="E63" s="21">
        <v>1.0</v>
      </c>
      <c r="F63" s="67" t="s">
        <v>403</v>
      </c>
      <c r="G63" s="23" t="s">
        <v>399</v>
      </c>
      <c r="H63" s="67" t="s">
        <v>404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8" t="s">
        <v>406</v>
      </c>
      <c r="B64" s="18">
        <v>164.0</v>
      </c>
      <c r="C64" s="8" t="s">
        <v>173</v>
      </c>
      <c r="D64" s="8" t="s">
        <v>408</v>
      </c>
      <c r="E64" s="21">
        <v>1.0</v>
      </c>
      <c r="F64" s="23" t="s">
        <v>409</v>
      </c>
      <c r="G64" s="23" t="s">
        <v>410</v>
      </c>
      <c r="H64" s="23" t="s">
        <v>411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idden="1">
      <c r="A65" s="8" t="s">
        <v>412</v>
      </c>
      <c r="B65" s="18">
        <v>167.0</v>
      </c>
      <c r="C65" s="8" t="s">
        <v>173</v>
      </c>
      <c r="D65" s="8" t="s">
        <v>415</v>
      </c>
      <c r="E65" s="21">
        <v>0.0</v>
      </c>
      <c r="F65" s="27"/>
      <c r="G65" s="27"/>
      <c r="H65" s="27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8" t="s">
        <v>416</v>
      </c>
      <c r="B66" s="18">
        <v>169.0</v>
      </c>
      <c r="C66" s="8" t="s">
        <v>173</v>
      </c>
      <c r="D66" s="8" t="s">
        <v>418</v>
      </c>
      <c r="E66" s="21">
        <v>1.0</v>
      </c>
      <c r="F66" s="23" t="s">
        <v>419</v>
      </c>
      <c r="G66" s="23" t="s">
        <v>234</v>
      </c>
      <c r="H66" s="23" t="s">
        <v>420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8" t="s">
        <v>421</v>
      </c>
      <c r="B67" s="18">
        <v>170.0</v>
      </c>
      <c r="C67" s="8" t="s">
        <v>173</v>
      </c>
      <c r="D67" s="8" t="s">
        <v>422</v>
      </c>
      <c r="E67" s="21">
        <v>1.0</v>
      </c>
      <c r="F67" s="23" t="s">
        <v>423</v>
      </c>
      <c r="G67" s="23" t="s">
        <v>424</v>
      </c>
      <c r="H67" s="23" t="s">
        <v>425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8" t="s">
        <v>428</v>
      </c>
      <c r="B68" s="18">
        <v>172.0</v>
      </c>
      <c r="C68" s="8" t="s">
        <v>173</v>
      </c>
      <c r="D68" s="8" t="s">
        <v>429</v>
      </c>
      <c r="E68" s="21">
        <v>1.0</v>
      </c>
      <c r="F68" s="23" t="s">
        <v>430</v>
      </c>
      <c r="G68" s="23" t="s">
        <v>431</v>
      </c>
      <c r="H68" s="23" t="s">
        <v>432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8" t="s">
        <v>434</v>
      </c>
      <c r="B69" s="18">
        <v>176.0</v>
      </c>
      <c r="C69" s="8" t="s">
        <v>173</v>
      </c>
      <c r="D69" s="8" t="s">
        <v>435</v>
      </c>
      <c r="E69" s="21">
        <v>1.0</v>
      </c>
      <c r="F69" s="23" t="s">
        <v>436</v>
      </c>
      <c r="G69" s="23" t="s">
        <v>437</v>
      </c>
      <c r="H69" s="23" t="s">
        <v>438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8" t="s">
        <v>441</v>
      </c>
      <c r="B70" s="18">
        <v>183.0</v>
      </c>
      <c r="C70" s="8" t="s">
        <v>173</v>
      </c>
      <c r="D70" s="8" t="s">
        <v>442</v>
      </c>
      <c r="E70" s="21">
        <v>1.0</v>
      </c>
      <c r="F70" s="23" t="s">
        <v>443</v>
      </c>
      <c r="G70" s="23" t="s">
        <v>149</v>
      </c>
      <c r="H70" s="23" t="s">
        <v>445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8" t="s">
        <v>447</v>
      </c>
      <c r="B71" s="18">
        <v>190.0</v>
      </c>
      <c r="C71" s="8" t="s">
        <v>173</v>
      </c>
      <c r="D71" s="8" t="s">
        <v>448</v>
      </c>
      <c r="E71" s="21">
        <v>1.0</v>
      </c>
      <c r="F71" s="23" t="s">
        <v>449</v>
      </c>
      <c r="G71" s="23" t="s">
        <v>450</v>
      </c>
      <c r="H71" s="23" t="s">
        <v>451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8" t="s">
        <v>453</v>
      </c>
      <c r="B72" s="18">
        <v>191.0</v>
      </c>
      <c r="C72" s="8" t="s">
        <v>173</v>
      </c>
      <c r="D72" s="8" t="s">
        <v>454</v>
      </c>
      <c r="E72" s="21">
        <v>1.0</v>
      </c>
      <c r="F72" s="23" t="s">
        <v>455</v>
      </c>
      <c r="G72" s="23" t="s">
        <v>86</v>
      </c>
      <c r="H72" s="23" t="s">
        <v>456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8" t="s">
        <v>457</v>
      </c>
      <c r="B73" s="18">
        <v>192.0</v>
      </c>
      <c r="C73" s="8" t="s">
        <v>173</v>
      </c>
      <c r="D73" s="8" t="s">
        <v>458</v>
      </c>
      <c r="E73" s="21">
        <v>1.0</v>
      </c>
      <c r="F73" s="23" t="s">
        <v>459</v>
      </c>
      <c r="G73" s="23" t="s">
        <v>460</v>
      </c>
      <c r="H73" s="23" t="s">
        <v>461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8" t="s">
        <v>463</v>
      </c>
      <c r="B74" s="18">
        <v>206.0</v>
      </c>
      <c r="C74" s="8" t="s">
        <v>173</v>
      </c>
      <c r="D74" s="8" t="s">
        <v>464</v>
      </c>
      <c r="E74" s="21">
        <v>1.0</v>
      </c>
      <c r="F74" s="23" t="s">
        <v>465</v>
      </c>
      <c r="G74" s="23" t="s">
        <v>86</v>
      </c>
      <c r="H74" s="23" t="s">
        <v>466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8" t="s">
        <v>467</v>
      </c>
      <c r="B75" s="18">
        <v>213.0</v>
      </c>
      <c r="C75" s="8" t="s">
        <v>173</v>
      </c>
      <c r="D75" s="8" t="s">
        <v>468</v>
      </c>
      <c r="E75" s="21">
        <v>1.0</v>
      </c>
      <c r="F75" s="23" t="s">
        <v>469</v>
      </c>
      <c r="G75" s="23" t="s">
        <v>470</v>
      </c>
      <c r="H75" s="23" t="s">
        <v>471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8" t="s">
        <v>473</v>
      </c>
      <c r="B76" s="18">
        <v>215.0</v>
      </c>
      <c r="C76" s="8" t="s">
        <v>173</v>
      </c>
      <c r="D76" s="8" t="s">
        <v>468</v>
      </c>
      <c r="E76" s="21">
        <v>1.0</v>
      </c>
      <c r="F76" s="23" t="s">
        <v>469</v>
      </c>
      <c r="G76" s="23" t="s">
        <v>470</v>
      </c>
      <c r="H76" s="23" t="s">
        <v>474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8" t="s">
        <v>476</v>
      </c>
      <c r="B77" s="18">
        <v>217.0</v>
      </c>
      <c r="C77" s="8" t="s">
        <v>173</v>
      </c>
      <c r="D77" s="8" t="s">
        <v>477</v>
      </c>
      <c r="E77" s="21">
        <v>1.0</v>
      </c>
      <c r="F77" s="23" t="s">
        <v>478</v>
      </c>
      <c r="G77" s="23" t="s">
        <v>479</v>
      </c>
      <c r="H77" s="23" t="s">
        <v>480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8" t="s">
        <v>481</v>
      </c>
      <c r="B78" s="18">
        <v>245.0</v>
      </c>
      <c r="C78" s="8" t="s">
        <v>173</v>
      </c>
      <c r="D78" s="8" t="s">
        <v>482</v>
      </c>
      <c r="E78" s="21">
        <v>1.0</v>
      </c>
      <c r="F78" s="23" t="s">
        <v>483</v>
      </c>
      <c r="G78" s="23" t="s">
        <v>200</v>
      </c>
      <c r="H78" s="23" t="s">
        <v>484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8" t="s">
        <v>485</v>
      </c>
      <c r="B79" s="18">
        <v>249.0</v>
      </c>
      <c r="C79" s="8" t="s">
        <v>173</v>
      </c>
      <c r="D79" s="8" t="s">
        <v>486</v>
      </c>
      <c r="E79" s="21">
        <v>1.0</v>
      </c>
      <c r="F79" s="66" t="s">
        <v>487</v>
      </c>
      <c r="G79" s="23" t="s">
        <v>489</v>
      </c>
      <c r="H79" s="23" t="s">
        <v>490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8" t="s">
        <v>491</v>
      </c>
      <c r="B80" s="18">
        <v>250.0</v>
      </c>
      <c r="C80" s="8" t="s">
        <v>173</v>
      </c>
      <c r="D80" s="8" t="s">
        <v>492</v>
      </c>
      <c r="E80" s="62">
        <v>1.0</v>
      </c>
      <c r="F80" s="75" t="s">
        <v>493</v>
      </c>
      <c r="G80" s="78" t="s">
        <v>495</v>
      </c>
      <c r="H80" s="78" t="s">
        <v>497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8" t="s">
        <v>498</v>
      </c>
      <c r="B81" s="18">
        <v>265.0</v>
      </c>
      <c r="C81" s="8" t="s">
        <v>173</v>
      </c>
      <c r="D81" s="8" t="s">
        <v>499</v>
      </c>
      <c r="E81" s="62">
        <v>1.0</v>
      </c>
      <c r="F81" s="81" t="s">
        <v>500</v>
      </c>
      <c r="G81" s="66" t="s">
        <v>501</v>
      </c>
      <c r="H81" s="90" t="s">
        <v>502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8" t="s">
        <v>511</v>
      </c>
      <c r="B82" s="18">
        <v>270.0</v>
      </c>
      <c r="C82" s="8" t="s">
        <v>173</v>
      </c>
      <c r="D82" s="8" t="s">
        <v>512</v>
      </c>
      <c r="E82" s="62">
        <v>1.0</v>
      </c>
      <c r="F82" s="63" t="s">
        <v>514</v>
      </c>
      <c r="G82" s="63" t="s">
        <v>517</v>
      </c>
      <c r="H82" s="63" t="s">
        <v>518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8" t="s">
        <v>521</v>
      </c>
      <c r="B83" s="18">
        <v>271.0</v>
      </c>
      <c r="C83" s="8" t="s">
        <v>173</v>
      </c>
      <c r="D83" s="8" t="s">
        <v>523</v>
      </c>
      <c r="E83" s="21">
        <v>1.0</v>
      </c>
      <c r="F83" s="23" t="s">
        <v>524</v>
      </c>
      <c r="G83" s="23" t="s">
        <v>525</v>
      </c>
      <c r="H83" s="23" t="s">
        <v>526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8" t="s">
        <v>527</v>
      </c>
      <c r="B84" s="18">
        <v>273.0</v>
      </c>
      <c r="C84" s="8" t="s">
        <v>173</v>
      </c>
      <c r="D84" s="8" t="s">
        <v>528</v>
      </c>
      <c r="E84" s="21">
        <v>1.0</v>
      </c>
      <c r="F84" s="23" t="s">
        <v>529</v>
      </c>
      <c r="G84" s="23" t="s">
        <v>530</v>
      </c>
      <c r="H84" s="23" t="s">
        <v>531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8" t="s">
        <v>533</v>
      </c>
      <c r="B85" s="18">
        <v>274.0</v>
      </c>
      <c r="C85" s="8" t="s">
        <v>173</v>
      </c>
      <c r="D85" s="8" t="s">
        <v>535</v>
      </c>
      <c r="E85" s="21">
        <v>1.0</v>
      </c>
      <c r="F85" s="23" t="s">
        <v>536</v>
      </c>
      <c r="G85" s="23" t="s">
        <v>158</v>
      </c>
      <c r="H85" s="23" t="s">
        <v>537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8" t="s">
        <v>538</v>
      </c>
      <c r="B86" s="18">
        <v>278.0</v>
      </c>
      <c r="C86" s="8" t="s">
        <v>173</v>
      </c>
      <c r="D86" s="8" t="s">
        <v>540</v>
      </c>
      <c r="E86" s="62">
        <v>1.0</v>
      </c>
      <c r="F86" s="96" t="s">
        <v>542</v>
      </c>
      <c r="G86" s="23" t="s">
        <v>544</v>
      </c>
      <c r="H86" s="90" t="s">
        <v>545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8" t="s">
        <v>554</v>
      </c>
      <c r="B87" s="18">
        <v>281.0</v>
      </c>
      <c r="C87" s="8" t="s">
        <v>173</v>
      </c>
      <c r="D87" s="8" t="s">
        <v>555</v>
      </c>
      <c r="E87" s="21">
        <v>1.0</v>
      </c>
      <c r="F87" s="23" t="s">
        <v>556</v>
      </c>
      <c r="G87" s="23" t="s">
        <v>544</v>
      </c>
      <c r="H87" s="23" t="s">
        <v>558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8" t="s">
        <v>560</v>
      </c>
      <c r="B88" s="18">
        <v>284.0</v>
      </c>
      <c r="C88" s="8" t="s">
        <v>173</v>
      </c>
      <c r="D88" s="8" t="s">
        <v>562</v>
      </c>
      <c r="E88" s="21">
        <v>1.0</v>
      </c>
      <c r="F88" s="23" t="s">
        <v>563</v>
      </c>
      <c r="G88" s="23" t="s">
        <v>564</v>
      </c>
      <c r="H88" s="23" t="s">
        <v>565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8" t="s">
        <v>567</v>
      </c>
      <c r="B89" s="18">
        <v>290.0</v>
      </c>
      <c r="C89" s="8" t="s">
        <v>173</v>
      </c>
      <c r="D89" s="8" t="s">
        <v>568</v>
      </c>
      <c r="E89" s="21">
        <v>1.0</v>
      </c>
      <c r="F89" s="23" t="s">
        <v>570</v>
      </c>
      <c r="G89" s="23" t="s">
        <v>571</v>
      </c>
      <c r="H89" s="23" t="s">
        <v>572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8" t="s">
        <v>574</v>
      </c>
      <c r="B90" s="18">
        <v>294.0</v>
      </c>
      <c r="C90" s="8" t="s">
        <v>173</v>
      </c>
      <c r="D90" s="8" t="s">
        <v>575</v>
      </c>
      <c r="E90" s="21">
        <v>1.0</v>
      </c>
      <c r="F90" s="23" t="s">
        <v>576</v>
      </c>
      <c r="G90" s="23" t="s">
        <v>577</v>
      </c>
      <c r="H90" s="23" t="s">
        <v>578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8" t="s">
        <v>579</v>
      </c>
      <c r="B91" s="18">
        <v>297.0</v>
      </c>
      <c r="C91" s="8" t="s">
        <v>173</v>
      </c>
      <c r="D91" s="8" t="s">
        <v>581</v>
      </c>
      <c r="E91" s="21">
        <v>1.0</v>
      </c>
      <c r="F91" s="23" t="s">
        <v>582</v>
      </c>
      <c r="G91" s="23" t="s">
        <v>583</v>
      </c>
      <c r="H91" s="23" t="s">
        <v>584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8" t="s">
        <v>587</v>
      </c>
      <c r="B92" s="18">
        <v>298.0</v>
      </c>
      <c r="C92" s="8" t="s">
        <v>173</v>
      </c>
      <c r="D92" s="8" t="s">
        <v>588</v>
      </c>
      <c r="E92" s="21">
        <v>1.0</v>
      </c>
      <c r="F92" s="23" t="s">
        <v>589</v>
      </c>
      <c r="G92" s="23" t="s">
        <v>86</v>
      </c>
      <c r="H92" s="23" t="s">
        <v>591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8" t="s">
        <v>592</v>
      </c>
      <c r="B93" s="18">
        <v>306.0</v>
      </c>
      <c r="C93" s="8" t="s">
        <v>173</v>
      </c>
      <c r="D93" s="8" t="s">
        <v>594</v>
      </c>
      <c r="E93" s="21">
        <v>1.0</v>
      </c>
      <c r="F93" s="23" t="s">
        <v>596</v>
      </c>
      <c r="G93" s="23" t="s">
        <v>597</v>
      </c>
      <c r="H93" s="23" t="s">
        <v>599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8" t="s">
        <v>601</v>
      </c>
      <c r="B94" s="18">
        <v>308.0</v>
      </c>
      <c r="C94" s="8" t="s">
        <v>173</v>
      </c>
      <c r="D94" s="8" t="s">
        <v>603</v>
      </c>
      <c r="E94" s="21">
        <v>1.0</v>
      </c>
      <c r="F94" s="67" t="s">
        <v>604</v>
      </c>
      <c r="G94" s="67" t="s">
        <v>606</v>
      </c>
      <c r="H94" s="67" t="s">
        <v>607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8" t="s">
        <v>608</v>
      </c>
      <c r="B95" s="18">
        <v>327.0</v>
      </c>
      <c r="C95" s="8" t="s">
        <v>173</v>
      </c>
      <c r="D95" s="8" t="s">
        <v>610</v>
      </c>
      <c r="E95" s="21">
        <v>1.0</v>
      </c>
      <c r="F95" s="23" t="s">
        <v>611</v>
      </c>
      <c r="G95" s="23" t="s">
        <v>314</v>
      </c>
      <c r="H95" s="23" t="s">
        <v>612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8" t="s">
        <v>616</v>
      </c>
      <c r="B96" s="18">
        <v>328.0</v>
      </c>
      <c r="C96" s="8" t="s">
        <v>173</v>
      </c>
      <c r="D96" s="8" t="s">
        <v>618</v>
      </c>
      <c r="E96" s="21">
        <v>1.0</v>
      </c>
      <c r="F96" s="23" t="s">
        <v>619</v>
      </c>
      <c r="G96" s="23" t="s">
        <v>620</v>
      </c>
      <c r="H96" s="23" t="s">
        <v>622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8" t="s">
        <v>625</v>
      </c>
      <c r="B97" s="18">
        <v>332.0</v>
      </c>
      <c r="C97" s="8" t="s">
        <v>173</v>
      </c>
      <c r="D97" s="8" t="s">
        <v>628</v>
      </c>
      <c r="E97" s="21">
        <v>1.0</v>
      </c>
      <c r="F97" s="23" t="s">
        <v>629</v>
      </c>
      <c r="G97" s="23" t="s">
        <v>630</v>
      </c>
      <c r="H97" s="23" t="s">
        <v>631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8" t="s">
        <v>634</v>
      </c>
      <c r="B98" s="18">
        <v>334.0</v>
      </c>
      <c r="C98" s="8" t="s">
        <v>173</v>
      </c>
      <c r="D98" s="8" t="s">
        <v>636</v>
      </c>
      <c r="E98" s="21">
        <v>1.0</v>
      </c>
      <c r="F98" s="23" t="s">
        <v>637</v>
      </c>
      <c r="G98" s="23" t="s">
        <v>86</v>
      </c>
      <c r="H98" s="23" t="s">
        <v>638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8" t="s">
        <v>641</v>
      </c>
      <c r="B99" s="18">
        <v>336.0</v>
      </c>
      <c r="C99" s="8" t="s">
        <v>173</v>
      </c>
      <c r="D99" s="8" t="s">
        <v>642</v>
      </c>
      <c r="E99" s="21">
        <v>1.0</v>
      </c>
      <c r="F99" s="23" t="s">
        <v>643</v>
      </c>
      <c r="G99" s="23" t="s">
        <v>644</v>
      </c>
      <c r="H99" s="23" t="s">
        <v>645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8" t="s">
        <v>647</v>
      </c>
      <c r="B100" s="18">
        <v>340.0</v>
      </c>
      <c r="C100" s="8" t="s">
        <v>173</v>
      </c>
      <c r="D100" s="8" t="s">
        <v>648</v>
      </c>
      <c r="E100" s="21">
        <v>1.0</v>
      </c>
      <c r="F100" s="67" t="s">
        <v>649</v>
      </c>
      <c r="G100" s="67" t="s">
        <v>650</v>
      </c>
      <c r="H100" s="67" t="s">
        <v>652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8" t="s">
        <v>654</v>
      </c>
      <c r="B101" s="18">
        <v>342.0</v>
      </c>
      <c r="C101" s="8" t="s">
        <v>173</v>
      </c>
      <c r="D101" s="8" t="s">
        <v>655</v>
      </c>
      <c r="E101" s="21">
        <v>1.0</v>
      </c>
      <c r="F101" s="23" t="s">
        <v>656</v>
      </c>
      <c r="G101" s="23" t="s">
        <v>657</v>
      </c>
      <c r="H101" s="23" t="s">
        <v>659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8" t="s">
        <v>661</v>
      </c>
      <c r="B102" s="18">
        <v>346.0</v>
      </c>
      <c r="C102" s="8" t="s">
        <v>173</v>
      </c>
      <c r="D102" s="8" t="s">
        <v>663</v>
      </c>
      <c r="E102" s="21">
        <v>1.0</v>
      </c>
      <c r="F102" s="23" t="s">
        <v>664</v>
      </c>
      <c r="G102" s="23" t="s">
        <v>665</v>
      </c>
      <c r="H102" s="23" t="s">
        <v>666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8" t="s">
        <v>668</v>
      </c>
      <c r="B103" s="18">
        <v>347.0</v>
      </c>
      <c r="C103" s="8" t="s">
        <v>173</v>
      </c>
      <c r="D103" s="8" t="s">
        <v>670</v>
      </c>
      <c r="E103" s="21">
        <v>1.0</v>
      </c>
      <c r="F103" s="23" t="s">
        <v>672</v>
      </c>
      <c r="G103" s="23" t="s">
        <v>424</v>
      </c>
      <c r="H103" s="23" t="s">
        <v>674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8" t="s">
        <v>675</v>
      </c>
      <c r="B104" s="18">
        <v>354.0</v>
      </c>
      <c r="C104" s="8" t="s">
        <v>173</v>
      </c>
      <c r="D104" s="8" t="s">
        <v>677</v>
      </c>
      <c r="E104" s="21">
        <v>1.0</v>
      </c>
      <c r="F104" s="23" t="s">
        <v>678</v>
      </c>
      <c r="G104" s="23" t="s">
        <v>681</v>
      </c>
      <c r="H104" s="23" t="s">
        <v>682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8" t="s">
        <v>684</v>
      </c>
      <c r="B105" s="18">
        <v>359.0</v>
      </c>
      <c r="C105" s="8" t="s">
        <v>173</v>
      </c>
      <c r="D105" s="8" t="s">
        <v>685</v>
      </c>
      <c r="E105" s="62">
        <v>1.0</v>
      </c>
      <c r="F105" s="63" t="s">
        <v>687</v>
      </c>
      <c r="G105" s="66" t="s">
        <v>358</v>
      </c>
      <c r="H105" s="63" t="s">
        <v>689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8" t="s">
        <v>691</v>
      </c>
      <c r="B106" s="18">
        <v>360.0</v>
      </c>
      <c r="C106" s="8" t="s">
        <v>173</v>
      </c>
      <c r="D106" s="8" t="s">
        <v>693</v>
      </c>
      <c r="E106" s="21">
        <v>1.0</v>
      </c>
      <c r="F106" s="23" t="s">
        <v>696</v>
      </c>
      <c r="G106" s="23" t="s">
        <v>697</v>
      </c>
      <c r="H106" s="23" t="s">
        <v>698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8" t="s">
        <v>700</v>
      </c>
      <c r="B107" s="18">
        <v>362.0</v>
      </c>
      <c r="C107" s="8" t="s">
        <v>173</v>
      </c>
      <c r="D107" s="8" t="s">
        <v>701</v>
      </c>
      <c r="E107" s="21">
        <v>1.0</v>
      </c>
      <c r="F107" s="23" t="s">
        <v>702</v>
      </c>
      <c r="G107" s="23" t="s">
        <v>703</v>
      </c>
      <c r="H107" s="23" t="s">
        <v>705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8" t="s">
        <v>709</v>
      </c>
      <c r="B108" s="18">
        <v>367.0</v>
      </c>
      <c r="C108" s="8" t="s">
        <v>173</v>
      </c>
      <c r="D108" s="8" t="s">
        <v>710</v>
      </c>
      <c r="E108" s="21">
        <v>1.0</v>
      </c>
      <c r="F108" s="23" t="s">
        <v>712</v>
      </c>
      <c r="G108" s="23" t="s">
        <v>86</v>
      </c>
      <c r="H108" s="23" t="s">
        <v>713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8" t="s">
        <v>716</v>
      </c>
      <c r="B109" s="18">
        <v>368.0</v>
      </c>
      <c r="C109" s="8" t="s">
        <v>173</v>
      </c>
      <c r="D109" s="8" t="s">
        <v>717</v>
      </c>
      <c r="E109" s="62">
        <v>1.0</v>
      </c>
      <c r="F109" s="63" t="s">
        <v>718</v>
      </c>
      <c r="G109" s="66" t="s">
        <v>358</v>
      </c>
      <c r="H109" s="63" t="s">
        <v>719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8" t="s">
        <v>720</v>
      </c>
      <c r="B110" s="18">
        <v>369.0</v>
      </c>
      <c r="C110" s="8" t="s">
        <v>173</v>
      </c>
      <c r="D110" s="8" t="s">
        <v>722</v>
      </c>
      <c r="E110" s="21">
        <v>1.0</v>
      </c>
      <c r="F110" s="23" t="s">
        <v>725</v>
      </c>
      <c r="G110" s="23" t="s">
        <v>727</v>
      </c>
      <c r="H110" s="23" t="s">
        <v>728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8" t="s">
        <v>729</v>
      </c>
      <c r="B111" s="18">
        <v>370.0</v>
      </c>
      <c r="C111" s="8" t="s">
        <v>173</v>
      </c>
      <c r="D111" s="8" t="s">
        <v>730</v>
      </c>
      <c r="E111" s="21">
        <v>1.0</v>
      </c>
      <c r="F111" s="23" t="s">
        <v>731</v>
      </c>
      <c r="G111" s="23" t="s">
        <v>158</v>
      </c>
      <c r="H111" s="23" t="s">
        <v>733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8" t="s">
        <v>734</v>
      </c>
      <c r="B112" s="18">
        <v>371.0</v>
      </c>
      <c r="C112" s="8" t="s">
        <v>173</v>
      </c>
      <c r="D112" s="8" t="s">
        <v>736</v>
      </c>
      <c r="E112" s="21">
        <v>1.0</v>
      </c>
      <c r="F112" s="23" t="s">
        <v>737</v>
      </c>
      <c r="G112" s="23" t="s">
        <v>738</v>
      </c>
      <c r="H112" s="23" t="s">
        <v>739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8" t="s">
        <v>742</v>
      </c>
      <c r="B113" s="18">
        <v>372.0</v>
      </c>
      <c r="C113" s="8" t="s">
        <v>173</v>
      </c>
      <c r="D113" s="8" t="s">
        <v>745</v>
      </c>
      <c r="E113" s="21">
        <v>1.0</v>
      </c>
      <c r="F113" s="23" t="s">
        <v>746</v>
      </c>
      <c r="G113" s="23" t="s">
        <v>747</v>
      </c>
      <c r="H113" s="23" t="s">
        <v>748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8" t="s">
        <v>752</v>
      </c>
      <c r="B114" s="18">
        <v>374.0</v>
      </c>
      <c r="C114" s="8" t="s">
        <v>173</v>
      </c>
      <c r="D114" s="8" t="s">
        <v>753</v>
      </c>
      <c r="E114" s="21">
        <v>1.0</v>
      </c>
      <c r="F114" s="23" t="s">
        <v>754</v>
      </c>
      <c r="G114" s="23" t="s">
        <v>756</v>
      </c>
      <c r="H114" s="23" t="s">
        <v>757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8" t="s">
        <v>759</v>
      </c>
      <c r="B115" s="18">
        <v>375.0</v>
      </c>
      <c r="C115" s="8" t="s">
        <v>173</v>
      </c>
      <c r="D115" s="8" t="s">
        <v>760</v>
      </c>
      <c r="E115" s="21">
        <v>1.0</v>
      </c>
      <c r="F115" s="23" t="s">
        <v>761</v>
      </c>
      <c r="G115" s="23" t="s">
        <v>650</v>
      </c>
      <c r="H115" s="23" t="s">
        <v>762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8" t="s">
        <v>765</v>
      </c>
      <c r="B116" s="18">
        <v>378.0</v>
      </c>
      <c r="C116" s="8" t="s">
        <v>173</v>
      </c>
      <c r="D116" s="8" t="s">
        <v>768</v>
      </c>
      <c r="E116" s="21">
        <v>1.0</v>
      </c>
      <c r="F116" s="23" t="s">
        <v>769</v>
      </c>
      <c r="G116" s="23" t="s">
        <v>149</v>
      </c>
      <c r="H116" s="23" t="s">
        <v>770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8" t="s">
        <v>772</v>
      </c>
      <c r="B117" s="18">
        <v>379.0</v>
      </c>
      <c r="C117" s="8" t="s">
        <v>173</v>
      </c>
      <c r="D117" s="8" t="s">
        <v>773</v>
      </c>
      <c r="E117" s="62">
        <v>1.0</v>
      </c>
      <c r="F117" s="78" t="s">
        <v>774</v>
      </c>
      <c r="G117" s="78" t="s">
        <v>775</v>
      </c>
      <c r="H117" s="78" t="s">
        <v>776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8" t="s">
        <v>778</v>
      </c>
      <c r="B118" s="18">
        <v>385.0</v>
      </c>
      <c r="C118" s="8" t="s">
        <v>173</v>
      </c>
      <c r="D118" s="8" t="s">
        <v>780</v>
      </c>
      <c r="E118" s="21">
        <v>1.0</v>
      </c>
      <c r="F118" s="23" t="s">
        <v>781</v>
      </c>
      <c r="G118" s="23" t="s">
        <v>179</v>
      </c>
      <c r="H118" s="23" t="s">
        <v>783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8" t="s">
        <v>784</v>
      </c>
      <c r="B119" s="18">
        <v>389.0</v>
      </c>
      <c r="C119" s="8" t="s">
        <v>173</v>
      </c>
      <c r="D119" s="8" t="s">
        <v>785</v>
      </c>
      <c r="E119" s="62">
        <v>1.0</v>
      </c>
      <c r="F119" s="63" t="s">
        <v>786</v>
      </c>
      <c r="G119" s="66" t="s">
        <v>358</v>
      </c>
      <c r="H119" s="63" t="s">
        <v>787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8" t="s">
        <v>790</v>
      </c>
      <c r="B120" s="18">
        <v>400.0</v>
      </c>
      <c r="C120" s="8" t="s">
        <v>173</v>
      </c>
      <c r="D120" s="8" t="s">
        <v>791</v>
      </c>
      <c r="E120" s="21">
        <v>1.0</v>
      </c>
      <c r="F120" s="23" t="s">
        <v>793</v>
      </c>
      <c r="G120" s="23" t="s">
        <v>794</v>
      </c>
      <c r="H120" s="23" t="s">
        <v>795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8" t="s">
        <v>798</v>
      </c>
      <c r="B121" s="18">
        <v>401.0</v>
      </c>
      <c r="C121" s="8" t="s">
        <v>173</v>
      </c>
      <c r="D121" s="8" t="s">
        <v>799</v>
      </c>
      <c r="E121" s="62">
        <v>1.0</v>
      </c>
      <c r="F121" s="102" t="s">
        <v>802</v>
      </c>
      <c r="G121" s="102" t="s">
        <v>804</v>
      </c>
      <c r="H121" s="63" t="s">
        <v>805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8" t="s">
        <v>809</v>
      </c>
      <c r="B122" s="18">
        <v>403.0</v>
      </c>
      <c r="C122" s="8" t="s">
        <v>173</v>
      </c>
      <c r="D122" s="8" t="s">
        <v>810</v>
      </c>
      <c r="E122" s="62">
        <v>1.0</v>
      </c>
      <c r="F122" s="102" t="s">
        <v>811</v>
      </c>
      <c r="G122" s="102" t="s">
        <v>804</v>
      </c>
      <c r="H122" s="63" t="s">
        <v>813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8" t="s">
        <v>815</v>
      </c>
      <c r="B123" s="18">
        <v>415.0</v>
      </c>
      <c r="C123" s="8" t="s">
        <v>173</v>
      </c>
      <c r="D123" s="8" t="s">
        <v>818</v>
      </c>
      <c r="E123" s="62">
        <v>1.0</v>
      </c>
      <c r="F123" s="78" t="s">
        <v>819</v>
      </c>
      <c r="G123" s="78" t="s">
        <v>821</v>
      </c>
      <c r="H123" s="78" t="s">
        <v>822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8" t="s">
        <v>175</v>
      </c>
      <c r="B124" s="18">
        <v>7.0</v>
      </c>
      <c r="C124" s="8" t="s">
        <v>826</v>
      </c>
      <c r="D124" s="8" t="s">
        <v>827</v>
      </c>
      <c r="E124" s="21">
        <v>1.0</v>
      </c>
      <c r="F124" s="23" t="s">
        <v>829</v>
      </c>
      <c r="G124" s="23" t="s">
        <v>830</v>
      </c>
      <c r="H124" s="23" t="s">
        <v>831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8" t="s">
        <v>333</v>
      </c>
      <c r="B125" s="18">
        <v>48.0</v>
      </c>
      <c r="C125" s="8" t="s">
        <v>826</v>
      </c>
      <c r="D125" s="8" t="s">
        <v>836</v>
      </c>
      <c r="E125" s="21">
        <v>1.0</v>
      </c>
      <c r="F125" s="23" t="s">
        <v>837</v>
      </c>
      <c r="G125" s="23" t="s">
        <v>269</v>
      </c>
      <c r="H125" s="23" t="s">
        <v>838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8" t="s">
        <v>426</v>
      </c>
      <c r="B126" s="18">
        <v>82.0</v>
      </c>
      <c r="C126" s="8" t="s">
        <v>826</v>
      </c>
      <c r="D126" s="8" t="s">
        <v>843</v>
      </c>
      <c r="E126" s="21">
        <v>1.0</v>
      </c>
      <c r="F126" s="23" t="s">
        <v>844</v>
      </c>
      <c r="G126" s="23" t="s">
        <v>269</v>
      </c>
      <c r="H126" s="23" t="s">
        <v>845</v>
      </c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>
      <c r="A127" s="8" t="s">
        <v>439</v>
      </c>
      <c r="B127" s="18">
        <v>85.0</v>
      </c>
      <c r="C127" s="8" t="s">
        <v>826</v>
      </c>
      <c r="D127" s="8" t="s">
        <v>849</v>
      </c>
      <c r="E127" s="21">
        <v>1.0</v>
      </c>
      <c r="F127" s="23" t="s">
        <v>850</v>
      </c>
      <c r="G127" s="23" t="s">
        <v>851</v>
      </c>
      <c r="H127" s="23" t="s">
        <v>852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8" t="s">
        <v>600</v>
      </c>
      <c r="B128" s="18">
        <v>122.0</v>
      </c>
      <c r="C128" s="8" t="s">
        <v>826</v>
      </c>
      <c r="D128" s="8" t="s">
        <v>855</v>
      </c>
      <c r="E128" s="21">
        <v>1.0</v>
      </c>
      <c r="F128" s="23" t="s">
        <v>856</v>
      </c>
      <c r="G128" s="23" t="s">
        <v>399</v>
      </c>
      <c r="H128" s="23" t="s">
        <v>858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8" t="s">
        <v>621</v>
      </c>
      <c r="B129" s="18">
        <v>127.0</v>
      </c>
      <c r="C129" s="8" t="s">
        <v>826</v>
      </c>
      <c r="D129" s="8" t="s">
        <v>861</v>
      </c>
      <c r="E129" s="21">
        <v>1.0</v>
      </c>
      <c r="F129" s="23" t="s">
        <v>862</v>
      </c>
      <c r="G129" s="23" t="s">
        <v>747</v>
      </c>
      <c r="H129" s="23" t="s">
        <v>863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8" t="s">
        <v>658</v>
      </c>
      <c r="B130" s="18">
        <v>131.0</v>
      </c>
      <c r="C130" s="8" t="s">
        <v>826</v>
      </c>
      <c r="D130" s="8" t="s">
        <v>867</v>
      </c>
      <c r="E130" s="21">
        <v>1.0</v>
      </c>
      <c r="F130" s="23" t="s">
        <v>868</v>
      </c>
      <c r="G130" s="23" t="s">
        <v>869</v>
      </c>
      <c r="H130" s="23" t="s">
        <v>870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8" t="s">
        <v>667</v>
      </c>
      <c r="B131" s="18">
        <v>132.0</v>
      </c>
      <c r="C131" s="8" t="s">
        <v>826</v>
      </c>
      <c r="D131" s="8" t="s">
        <v>872</v>
      </c>
      <c r="E131" s="21">
        <v>1.0</v>
      </c>
      <c r="F131" s="23" t="s">
        <v>873</v>
      </c>
      <c r="G131" s="23" t="s">
        <v>875</v>
      </c>
      <c r="H131" s="23" t="s">
        <v>877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8" t="s">
        <v>692</v>
      </c>
      <c r="B132" s="18">
        <v>137.0</v>
      </c>
      <c r="C132" s="8" t="s">
        <v>826</v>
      </c>
      <c r="D132" s="8" t="s">
        <v>882</v>
      </c>
      <c r="E132" s="21">
        <v>1.0</v>
      </c>
      <c r="F132" s="23" t="s">
        <v>883</v>
      </c>
      <c r="G132" s="23" t="s">
        <v>149</v>
      </c>
      <c r="H132" s="23" t="s">
        <v>885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8" t="s">
        <v>808</v>
      </c>
      <c r="B133" s="18">
        <v>154.0</v>
      </c>
      <c r="C133" s="8" t="s">
        <v>826</v>
      </c>
      <c r="D133" s="8" t="s">
        <v>886</v>
      </c>
      <c r="E133" s="21">
        <v>1.0</v>
      </c>
      <c r="F133" s="23" t="s">
        <v>887</v>
      </c>
      <c r="G133" s="23" t="s">
        <v>38</v>
      </c>
      <c r="H133" s="23" t="s">
        <v>888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8" t="s">
        <v>817</v>
      </c>
      <c r="B134" s="18">
        <v>155.0</v>
      </c>
      <c r="C134" s="8" t="s">
        <v>826</v>
      </c>
      <c r="D134" s="8" t="s">
        <v>670</v>
      </c>
      <c r="E134" s="21">
        <v>1.0</v>
      </c>
      <c r="F134" s="23" t="s">
        <v>672</v>
      </c>
      <c r="G134" s="23" t="s">
        <v>424</v>
      </c>
      <c r="H134" s="23" t="s">
        <v>890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8" t="s">
        <v>825</v>
      </c>
      <c r="B135" s="18">
        <v>158.0</v>
      </c>
      <c r="C135" s="8" t="s">
        <v>826</v>
      </c>
      <c r="D135" s="8" t="s">
        <v>892</v>
      </c>
      <c r="E135" s="21">
        <v>1.0</v>
      </c>
      <c r="F135" s="23" t="s">
        <v>893</v>
      </c>
      <c r="G135" s="23" t="s">
        <v>894</v>
      </c>
      <c r="H135" s="23" t="s">
        <v>895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8" t="s">
        <v>864</v>
      </c>
      <c r="B136" s="18">
        <v>166.0</v>
      </c>
      <c r="C136" s="8" t="s">
        <v>826</v>
      </c>
      <c r="D136" s="8" t="s">
        <v>896</v>
      </c>
      <c r="E136" s="21">
        <v>1.0</v>
      </c>
      <c r="F136" s="23" t="s">
        <v>898</v>
      </c>
      <c r="G136" s="23" t="s">
        <v>899</v>
      </c>
      <c r="H136" s="23" t="s">
        <v>900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8" t="s">
        <v>902</v>
      </c>
      <c r="B137" s="18">
        <v>210.0</v>
      </c>
      <c r="C137" s="8" t="s">
        <v>826</v>
      </c>
      <c r="D137" s="8" t="s">
        <v>903</v>
      </c>
      <c r="E137" s="21">
        <v>1.0</v>
      </c>
      <c r="F137" s="23" t="s">
        <v>904</v>
      </c>
      <c r="G137" s="23" t="s">
        <v>905</v>
      </c>
      <c r="H137" s="23" t="s">
        <v>906</v>
      </c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8" t="s">
        <v>907</v>
      </c>
      <c r="B138" s="18">
        <v>214.0</v>
      </c>
      <c r="C138" s="8" t="s">
        <v>826</v>
      </c>
      <c r="D138" s="8" t="s">
        <v>468</v>
      </c>
      <c r="E138" s="21">
        <v>1.0</v>
      </c>
      <c r="F138" s="23" t="s">
        <v>469</v>
      </c>
      <c r="G138" s="23" t="s">
        <v>470</v>
      </c>
      <c r="H138" s="23" t="s">
        <v>909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idden="1">
      <c r="A139" s="8" t="s">
        <v>910</v>
      </c>
      <c r="B139" s="18">
        <v>243.0</v>
      </c>
      <c r="C139" s="8" t="s">
        <v>826</v>
      </c>
      <c r="D139" s="8" t="s">
        <v>911</v>
      </c>
      <c r="E139" s="21">
        <v>0.0</v>
      </c>
      <c r="F139" s="27"/>
      <c r="G139" s="27"/>
      <c r="H139" s="27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8" t="s">
        <v>912</v>
      </c>
      <c r="B140" s="18">
        <v>258.0</v>
      </c>
      <c r="C140" s="8" t="s">
        <v>826</v>
      </c>
      <c r="D140" s="8" t="s">
        <v>913</v>
      </c>
      <c r="E140" s="21">
        <v>1.0</v>
      </c>
      <c r="F140" s="23" t="s">
        <v>915</v>
      </c>
      <c r="G140" s="23" t="s">
        <v>916</v>
      </c>
      <c r="H140" s="23" t="s">
        <v>917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8" t="s">
        <v>919</v>
      </c>
      <c r="B141" s="18">
        <v>272.0</v>
      </c>
      <c r="C141" s="8" t="s">
        <v>826</v>
      </c>
      <c r="D141" s="8" t="s">
        <v>920</v>
      </c>
      <c r="E141" s="21">
        <v>1.0</v>
      </c>
      <c r="F141" s="23" t="s">
        <v>529</v>
      </c>
      <c r="G141" s="23" t="s">
        <v>530</v>
      </c>
      <c r="H141" s="23" t="s">
        <v>921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8" t="s">
        <v>924</v>
      </c>
      <c r="B142" s="18">
        <v>280.0</v>
      </c>
      <c r="C142" s="8" t="s">
        <v>826</v>
      </c>
      <c r="D142" s="8" t="s">
        <v>925</v>
      </c>
      <c r="E142" s="21">
        <v>1.0</v>
      </c>
      <c r="F142" s="23" t="s">
        <v>926</v>
      </c>
      <c r="G142" s="23" t="s">
        <v>927</v>
      </c>
      <c r="H142" s="23" t="s">
        <v>928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8" t="s">
        <v>929</v>
      </c>
      <c r="B143" s="18">
        <v>301.0</v>
      </c>
      <c r="C143" s="8" t="s">
        <v>826</v>
      </c>
      <c r="D143" s="8" t="s">
        <v>930</v>
      </c>
      <c r="E143" s="21">
        <v>1.0</v>
      </c>
      <c r="F143" s="23" t="s">
        <v>931</v>
      </c>
      <c r="G143" s="23" t="s">
        <v>703</v>
      </c>
      <c r="H143" s="23" t="s">
        <v>932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8" t="s">
        <v>934</v>
      </c>
      <c r="B144" s="18">
        <v>305.0</v>
      </c>
      <c r="C144" s="8" t="s">
        <v>826</v>
      </c>
      <c r="D144" s="8" t="s">
        <v>935</v>
      </c>
      <c r="E144" s="21">
        <v>1.0</v>
      </c>
      <c r="F144" s="23" t="s">
        <v>153</v>
      </c>
      <c r="G144" s="23" t="s">
        <v>936</v>
      </c>
      <c r="H144" s="23" t="s">
        <v>937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idden="1">
      <c r="A145" s="8" t="s">
        <v>938</v>
      </c>
      <c r="B145" s="18">
        <v>329.0</v>
      </c>
      <c r="C145" s="8" t="s">
        <v>826</v>
      </c>
      <c r="D145" s="8" t="s">
        <v>939</v>
      </c>
      <c r="E145" s="21">
        <v>0.0</v>
      </c>
      <c r="F145" s="27"/>
      <c r="G145" s="27"/>
      <c r="H145" s="27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8" t="s">
        <v>940</v>
      </c>
      <c r="B146" s="18">
        <v>331.0</v>
      </c>
      <c r="C146" s="8" t="s">
        <v>826</v>
      </c>
      <c r="D146" s="8" t="s">
        <v>941</v>
      </c>
      <c r="E146" s="21">
        <v>1.0</v>
      </c>
      <c r="F146" s="23" t="s">
        <v>942</v>
      </c>
      <c r="G146" s="23" t="s">
        <v>943</v>
      </c>
      <c r="H146" s="23" t="s">
        <v>945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8" t="s">
        <v>946</v>
      </c>
      <c r="B147" s="18">
        <v>344.0</v>
      </c>
      <c r="C147" s="8" t="s">
        <v>826</v>
      </c>
      <c r="D147" s="8" t="s">
        <v>948</v>
      </c>
      <c r="E147" s="21">
        <v>1.0</v>
      </c>
      <c r="F147" s="23" t="s">
        <v>949</v>
      </c>
      <c r="G147" s="23" t="s">
        <v>149</v>
      </c>
      <c r="H147" s="23" t="s">
        <v>950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8" t="s">
        <v>951</v>
      </c>
      <c r="B148" s="18">
        <v>345.0</v>
      </c>
      <c r="C148" s="8" t="s">
        <v>826</v>
      </c>
      <c r="D148" s="8" t="s">
        <v>952</v>
      </c>
      <c r="E148" s="21">
        <v>1.0</v>
      </c>
      <c r="F148" s="23" t="s">
        <v>954</v>
      </c>
      <c r="G148" s="23" t="s">
        <v>955</v>
      </c>
      <c r="H148" s="23" t="s">
        <v>956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idden="1">
      <c r="A149" s="109" t="s">
        <v>957</v>
      </c>
      <c r="B149" s="110">
        <v>350.0</v>
      </c>
      <c r="C149" s="109" t="s">
        <v>826</v>
      </c>
      <c r="D149" s="111" t="s">
        <v>959</v>
      </c>
      <c r="E149" s="113" t="s">
        <v>167</v>
      </c>
      <c r="F149" s="114"/>
      <c r="G149" s="114"/>
      <c r="H149" s="114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8" t="s">
        <v>960</v>
      </c>
      <c r="B150" s="18">
        <v>351.0</v>
      </c>
      <c r="C150" s="8" t="s">
        <v>826</v>
      </c>
      <c r="D150" s="8" t="s">
        <v>962</v>
      </c>
      <c r="E150" s="21">
        <v>1.0</v>
      </c>
      <c r="F150" s="23" t="s">
        <v>963</v>
      </c>
      <c r="G150" s="23" t="s">
        <v>470</v>
      </c>
      <c r="H150" s="23" t="s">
        <v>964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8" t="s">
        <v>965</v>
      </c>
      <c r="B151" s="18">
        <v>358.0</v>
      </c>
      <c r="C151" s="8" t="s">
        <v>826</v>
      </c>
      <c r="D151" s="8" t="s">
        <v>967</v>
      </c>
      <c r="E151" s="21">
        <v>1.0</v>
      </c>
      <c r="F151" s="23" t="s">
        <v>968</v>
      </c>
      <c r="G151" s="23" t="s">
        <v>100</v>
      </c>
      <c r="H151" s="23" t="s">
        <v>969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8" t="s">
        <v>971</v>
      </c>
      <c r="B152" s="18">
        <v>364.0</v>
      </c>
      <c r="C152" s="8" t="s">
        <v>826</v>
      </c>
      <c r="D152" s="8" t="s">
        <v>972</v>
      </c>
      <c r="E152" s="21">
        <v>1.0</v>
      </c>
      <c r="F152" s="23" t="s">
        <v>974</v>
      </c>
      <c r="G152" s="23" t="s">
        <v>975</v>
      </c>
      <c r="H152" s="67" t="s">
        <v>976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8" t="s">
        <v>978</v>
      </c>
      <c r="B153" s="18">
        <v>365.0</v>
      </c>
      <c r="C153" s="8" t="s">
        <v>826</v>
      </c>
      <c r="D153" s="8" t="s">
        <v>979</v>
      </c>
      <c r="E153" s="21">
        <v>1.0</v>
      </c>
      <c r="F153" s="23" t="s">
        <v>873</v>
      </c>
      <c r="G153" s="23" t="s">
        <v>875</v>
      </c>
      <c r="H153" s="23" t="s">
        <v>980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8" t="s">
        <v>981</v>
      </c>
      <c r="B154" s="18">
        <v>366.0</v>
      </c>
      <c r="C154" s="8" t="s">
        <v>826</v>
      </c>
      <c r="D154" s="8" t="s">
        <v>983</v>
      </c>
      <c r="E154" s="21">
        <v>1.0</v>
      </c>
      <c r="F154" s="23" t="s">
        <v>984</v>
      </c>
      <c r="G154" s="23" t="s">
        <v>985</v>
      </c>
      <c r="H154" s="23" t="s">
        <v>986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8" t="s">
        <v>989</v>
      </c>
      <c r="B155" s="18">
        <v>380.0</v>
      </c>
      <c r="C155" s="8" t="s">
        <v>826</v>
      </c>
      <c r="D155" s="8" t="s">
        <v>990</v>
      </c>
      <c r="E155" s="21">
        <v>1.0</v>
      </c>
      <c r="F155" s="23" t="s">
        <v>754</v>
      </c>
      <c r="G155" s="23" t="s">
        <v>991</v>
      </c>
      <c r="H155" s="23" t="s">
        <v>992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8" t="s">
        <v>993</v>
      </c>
      <c r="B156" s="18">
        <v>381.0</v>
      </c>
      <c r="C156" s="8" t="s">
        <v>826</v>
      </c>
      <c r="D156" s="8" t="s">
        <v>994</v>
      </c>
      <c r="E156" s="21">
        <v>1.0</v>
      </c>
      <c r="F156" s="23" t="s">
        <v>996</v>
      </c>
      <c r="G156" s="23" t="s">
        <v>86</v>
      </c>
      <c r="H156" s="23" t="s">
        <v>998</v>
      </c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8" t="s">
        <v>763</v>
      </c>
      <c r="B157" s="18">
        <v>133.0</v>
      </c>
      <c r="C157" s="8" t="s">
        <v>766</v>
      </c>
      <c r="D157" s="8" t="s">
        <v>999</v>
      </c>
      <c r="E157" s="21">
        <v>1.0</v>
      </c>
      <c r="F157" s="23" t="s">
        <v>1000</v>
      </c>
      <c r="G157" s="23" t="s">
        <v>100</v>
      </c>
      <c r="H157" s="23" t="s">
        <v>1002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8" t="s">
        <v>779</v>
      </c>
      <c r="B158" s="18">
        <v>283.0</v>
      </c>
      <c r="C158" s="8" t="s">
        <v>766</v>
      </c>
      <c r="D158" s="8" t="s">
        <v>1004</v>
      </c>
      <c r="E158" s="21">
        <v>1.0</v>
      </c>
      <c r="F158" s="23" t="s">
        <v>604</v>
      </c>
      <c r="G158" s="23" t="s">
        <v>606</v>
      </c>
      <c r="H158" s="23" t="s">
        <v>1005</v>
      </c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8" t="s">
        <v>806</v>
      </c>
      <c r="B159" s="18">
        <v>309.0</v>
      </c>
      <c r="C159" s="8" t="s">
        <v>766</v>
      </c>
      <c r="D159" s="8" t="s">
        <v>1007</v>
      </c>
      <c r="E159" s="62">
        <v>1.0</v>
      </c>
      <c r="F159" s="117" t="s">
        <v>1008</v>
      </c>
      <c r="G159" s="78" t="s">
        <v>1009</v>
      </c>
      <c r="H159" s="78" t="s">
        <v>1010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idden="1">
      <c r="A160" s="8" t="s">
        <v>814</v>
      </c>
      <c r="B160" s="18">
        <v>321.0</v>
      </c>
      <c r="C160" s="8" t="s">
        <v>766</v>
      </c>
      <c r="D160" s="8" t="s">
        <v>1011</v>
      </c>
      <c r="E160" s="21">
        <v>0.0</v>
      </c>
      <c r="F160" s="27"/>
      <c r="G160" s="27"/>
      <c r="H160" s="27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>
      <c r="A161" s="8" t="s">
        <v>823</v>
      </c>
      <c r="B161" s="18">
        <v>325.0</v>
      </c>
      <c r="C161" s="8" t="s">
        <v>766</v>
      </c>
      <c r="D161" s="8" t="s">
        <v>1012</v>
      </c>
      <c r="E161" s="21">
        <v>1.0</v>
      </c>
      <c r="F161" s="23" t="s">
        <v>1014</v>
      </c>
      <c r="G161" s="23" t="s">
        <v>1015</v>
      </c>
      <c r="H161" s="23" t="s">
        <v>1016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8" t="s">
        <v>839</v>
      </c>
      <c r="B162" s="18">
        <v>313.0</v>
      </c>
      <c r="C162" s="8" t="s">
        <v>840</v>
      </c>
      <c r="D162" s="8" t="s">
        <v>1017</v>
      </c>
      <c r="E162" s="21">
        <v>1.0</v>
      </c>
      <c r="F162" s="23" t="s">
        <v>1018</v>
      </c>
      <c r="G162" s="23" t="s">
        <v>1019</v>
      </c>
      <c r="H162" s="23" t="s">
        <v>1020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idden="1">
      <c r="A163" s="8" t="s">
        <v>853</v>
      </c>
      <c r="B163" s="18">
        <v>324.0</v>
      </c>
      <c r="C163" s="8" t="s">
        <v>840</v>
      </c>
      <c r="D163" s="8" t="s">
        <v>1024</v>
      </c>
      <c r="E163" s="21">
        <v>0.0</v>
      </c>
      <c r="F163" s="118"/>
      <c r="G163" s="118"/>
      <c r="H163" s="118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8" t="s">
        <v>846</v>
      </c>
      <c r="B164" s="18">
        <v>316.0</v>
      </c>
      <c r="C164" s="8" t="s">
        <v>840</v>
      </c>
      <c r="D164" s="8" t="s">
        <v>1028</v>
      </c>
      <c r="E164" s="21">
        <v>1.0</v>
      </c>
      <c r="F164" s="23" t="s">
        <v>1029</v>
      </c>
      <c r="G164" s="23" t="s">
        <v>1030</v>
      </c>
      <c r="H164" s="23" t="s">
        <v>1031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8" t="s">
        <v>859</v>
      </c>
      <c r="B165" s="18">
        <v>395.0</v>
      </c>
      <c r="C165" s="8" t="s">
        <v>840</v>
      </c>
      <c r="D165" s="8" t="s">
        <v>1033</v>
      </c>
      <c r="E165" s="21">
        <v>1.0</v>
      </c>
      <c r="F165" s="23" t="s">
        <v>1034</v>
      </c>
      <c r="G165" s="23" t="s">
        <v>100</v>
      </c>
      <c r="H165" s="23" t="s">
        <v>1035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idden="1">
      <c r="A166" s="109" t="s">
        <v>876</v>
      </c>
      <c r="B166" s="110">
        <v>398.0</v>
      </c>
      <c r="C166" s="109" t="s">
        <v>840</v>
      </c>
      <c r="D166" s="111" t="s">
        <v>959</v>
      </c>
      <c r="E166" s="113" t="s">
        <v>167</v>
      </c>
      <c r="F166" s="114"/>
      <c r="G166" s="114"/>
      <c r="H166" s="114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8" t="s">
        <v>866</v>
      </c>
      <c r="B167" s="18">
        <v>397.0</v>
      </c>
      <c r="C167" s="8" t="s">
        <v>840</v>
      </c>
      <c r="D167" s="8" t="s">
        <v>1037</v>
      </c>
      <c r="E167" s="21">
        <v>1.0</v>
      </c>
      <c r="F167" s="23" t="s">
        <v>1038</v>
      </c>
      <c r="G167" s="23" t="s">
        <v>1039</v>
      </c>
      <c r="H167" s="23" t="s">
        <v>1040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60.0" customHeight="1">
      <c r="A168" s="8" t="s">
        <v>880</v>
      </c>
      <c r="B168" s="18">
        <v>412.0</v>
      </c>
      <c r="C168" s="8" t="s">
        <v>840</v>
      </c>
      <c r="D168" s="8" t="s">
        <v>1041</v>
      </c>
      <c r="E168" s="21">
        <v>1.0</v>
      </c>
      <c r="F168" s="23" t="s">
        <v>1042</v>
      </c>
      <c r="G168" s="23" t="s">
        <v>1043</v>
      </c>
      <c r="H168" s="23" t="s">
        <v>1044</v>
      </c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>
      <c r="A169" s="15"/>
      <c r="B169" s="15"/>
      <c r="C169" s="15"/>
      <c r="D169" s="15"/>
      <c r="E169" s="120">
        <f>SUM(E2:E167)</f>
        <v>157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20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20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20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20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20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20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20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20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20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20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20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20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20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20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20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20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20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20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20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20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20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20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20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20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20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20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20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20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20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20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20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20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20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20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20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20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20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20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20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20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20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20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20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20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20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20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20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20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20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20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20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20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20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20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20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20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20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20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20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20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20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20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20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20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20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20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20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20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20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20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20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20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20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20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20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20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20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20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20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20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20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20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20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20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20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20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20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20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20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20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20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20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20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20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20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20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20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20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20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20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20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20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20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20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20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20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20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20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20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20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20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20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20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20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20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20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20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20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20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20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20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20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20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20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20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20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20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20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20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20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20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20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20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20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20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20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20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20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20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20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20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20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20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20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20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20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20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20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20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20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20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20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20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20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20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20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20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20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20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20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20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20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20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20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20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20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20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20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20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20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20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20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20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20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20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20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20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20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20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20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20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20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20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20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20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20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20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20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20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20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20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20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20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20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20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20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20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20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20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20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20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20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20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20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20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20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20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20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20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20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20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20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20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20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20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20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20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20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20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20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20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20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20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20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20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20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20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20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20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20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20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20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20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20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20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20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20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20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20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20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20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20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20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20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20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20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20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20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20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20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20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20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20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20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20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20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20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20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20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20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20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20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20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20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20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20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20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20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20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20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20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20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20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20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20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20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20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20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20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20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20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20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20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20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20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20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20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20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20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20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20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20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20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20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20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20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20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20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20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20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20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20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20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20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20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20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20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20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20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20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20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20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20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20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20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20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20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20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20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20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20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20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20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20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20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20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20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20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20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20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20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20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20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20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20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20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20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20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20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20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20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20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20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20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20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20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20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20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20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20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20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20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20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20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20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20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20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20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20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20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20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20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20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20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20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20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20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20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20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20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20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20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20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20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20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20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20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20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20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20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20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20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20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20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20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20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20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20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20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20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20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20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20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20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20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20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20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20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20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20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20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20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20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20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20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20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20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20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20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20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20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20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20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20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20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20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20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20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20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20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20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20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20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20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20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20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20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20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20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20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20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20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20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20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20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20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20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20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20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20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20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20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20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20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20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20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20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20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20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20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20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20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20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20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20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20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20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20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20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20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20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20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20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20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20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20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20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20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20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20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20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20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20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20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20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20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20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20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20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20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20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20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20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20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20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20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20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20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20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20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20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20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20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20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20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20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20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20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20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20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20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20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20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20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20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20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20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20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20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20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20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20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20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20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20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20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20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20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20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20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20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20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20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20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20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20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20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20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20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20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20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20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20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20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20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20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20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20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20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20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20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20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20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20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20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20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20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20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20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20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20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20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20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20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20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20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20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20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20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20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20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20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20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20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20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20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20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20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20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20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20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20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20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20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20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20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20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20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20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20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20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20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20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20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20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20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20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20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20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20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20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20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20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20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20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20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20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20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20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20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20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20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20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20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20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20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20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20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20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20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20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20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20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20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20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20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20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20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20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20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20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20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20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20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20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20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20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20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20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20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20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20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20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20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20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20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20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20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20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20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20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20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20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20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20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20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20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20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20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20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20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20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20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20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20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20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20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20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20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20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20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20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20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20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20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20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20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20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20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20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20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20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20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20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20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20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20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20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20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20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20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20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20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20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20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20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20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20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20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20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20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20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20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20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20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20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20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20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20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20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20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20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20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20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20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20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20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20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20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20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20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20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20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20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20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20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20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20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20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20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20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20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20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20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20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20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20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20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20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20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20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20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20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20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20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20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20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20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20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20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20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20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20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20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20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20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20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20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20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20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20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20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20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20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20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20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20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20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20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20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20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20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20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20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20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20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20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20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20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20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20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20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20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20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20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20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20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20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20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20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20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20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20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20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20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20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20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20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20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20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20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20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20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20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20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20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20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20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20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20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20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20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20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20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20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20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20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20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20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20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20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20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20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20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20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20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20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20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20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20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20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20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20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20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20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20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</sheetData>
  <autoFilter ref="$A$1:$H$169">
    <filterColumn colId="4">
      <filters>
        <filter val="1"/>
        <filter val="157"/>
      </filters>
    </filterColumn>
    <sortState ref="A1:H169">
      <sortCondition ref="C1:C169"/>
    </sortState>
  </autoFilter>
  <hyperlinks>
    <hyperlink r:id="rId1" ref="H81"/>
    <hyperlink r:id="rId2" ref="H8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27.67"/>
    <col customWidth="1" min="3" max="3" width="29.89"/>
    <col customWidth="1" min="4" max="4" width="28.0"/>
    <col customWidth="1" min="5" max="5" width="24.67"/>
  </cols>
  <sheetData>
    <row r="1" ht="22.5" customHeight="1">
      <c r="A1" s="1" t="s">
        <v>0</v>
      </c>
      <c r="B1" s="1" t="s">
        <v>1</v>
      </c>
      <c r="C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>
        <v>301.0</v>
      </c>
      <c r="B2" s="7"/>
      <c r="C2" s="6" t="s">
        <v>11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7"/>
      <c r="B3" s="6" t="s">
        <v>15</v>
      </c>
      <c r="C3" s="6" t="s">
        <v>17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/>
      <c r="B4" s="6" t="s">
        <v>25</v>
      </c>
      <c r="C4" s="6" t="s">
        <v>17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/>
      <c r="B5" s="6" t="s">
        <v>28</v>
      </c>
      <c r="C5" s="6" t="s">
        <v>17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5.5" customHeight="1">
      <c r="A11" s="29" t="s">
        <v>43</v>
      </c>
      <c r="B11" s="31"/>
      <c r="C11" s="31"/>
      <c r="D11" s="31"/>
      <c r="E11" s="32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35" t="s">
        <v>55</v>
      </c>
      <c r="B12" s="35" t="s">
        <v>57</v>
      </c>
      <c r="C12" s="35" t="s">
        <v>58</v>
      </c>
      <c r="D12" s="35" t="s">
        <v>60</v>
      </c>
      <c r="E12" s="35" t="s">
        <v>61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7"/>
      <c r="B13" s="7"/>
      <c r="C13" s="7"/>
      <c r="D13" s="7"/>
      <c r="E13" s="7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/>
      <c r="B14" s="7"/>
      <c r="C14" s="7"/>
      <c r="D14" s="7"/>
      <c r="E14" s="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/>
      <c r="B15" s="7"/>
      <c r="C15" s="7"/>
      <c r="D15" s="7"/>
      <c r="E15" s="7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/>
      <c r="B16" s="7"/>
      <c r="C16" s="7"/>
      <c r="D16" s="7"/>
      <c r="E16" s="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"/>
      <c r="B17" s="7"/>
      <c r="C17" s="7"/>
      <c r="D17" s="7"/>
      <c r="E17" s="7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"/>
      <c r="B18" s="7"/>
      <c r="C18" s="7"/>
      <c r="D18" s="7"/>
      <c r="E18" s="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"/>
      <c r="B19" s="7"/>
      <c r="C19" s="7"/>
      <c r="D19" s="7"/>
      <c r="E19" s="7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7"/>
      <c r="B20" s="7"/>
      <c r="C20" s="7"/>
      <c r="D20" s="7"/>
      <c r="E20" s="7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7"/>
      <c r="B21" s="7"/>
      <c r="C21" s="7"/>
      <c r="D21" s="7"/>
      <c r="E21" s="7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1.75" customHeight="1">
      <c r="A25" s="43" t="s">
        <v>133</v>
      </c>
      <c r="B25" s="32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49"/>
      <c r="B26" s="6" t="s">
        <v>142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49"/>
      <c r="B27" s="6" t="s">
        <v>145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49"/>
      <c r="B28" s="6" t="s">
        <v>145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</sheetData>
  <mergeCells count="2">
    <mergeCell ref="A11:E11"/>
    <mergeCell ref="A25:B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44"/>
    <col customWidth="1" min="2" max="3" width="6.78"/>
    <col customWidth="1" min="4" max="5" width="12.44"/>
    <col customWidth="1" min="6" max="6" width="32.22"/>
    <col customWidth="1" min="7" max="7" width="20.67"/>
    <col customWidth="1" min="8" max="8" width="11.56"/>
    <col customWidth="1" min="9" max="9" width="12.0"/>
    <col customWidth="1" min="10" max="10" width="10.44"/>
    <col customWidth="1" min="11" max="12" width="12.11"/>
    <col customWidth="1" min="13" max="13" width="13.78"/>
    <col customWidth="1" min="14" max="28" width="10.56"/>
  </cols>
  <sheetData>
    <row r="1" ht="41.25" customHeight="1">
      <c r="A1" s="3" t="s">
        <v>2</v>
      </c>
      <c r="B1" s="4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9" t="s">
        <v>10</v>
      </c>
      <c r="H1" s="11" t="s">
        <v>13</v>
      </c>
      <c r="I1" s="11" t="s">
        <v>16</v>
      </c>
      <c r="J1" s="11" t="s">
        <v>18</v>
      </c>
      <c r="K1" s="14" t="s">
        <v>20</v>
      </c>
      <c r="L1" s="9" t="s">
        <v>22</v>
      </c>
      <c r="M1" s="16" t="s">
        <v>24</v>
      </c>
      <c r="N1" s="17"/>
      <c r="O1" s="19" t="s">
        <v>27</v>
      </c>
      <c r="P1" s="20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ht="41.25" customHeight="1">
      <c r="A2" s="24" t="s">
        <v>35</v>
      </c>
      <c r="B2" s="25"/>
      <c r="C2" s="25">
        <v>92.0</v>
      </c>
      <c r="D2" s="25">
        <v>3.0</v>
      </c>
      <c r="E2" s="25">
        <v>2.0</v>
      </c>
      <c r="F2" s="30" t="s">
        <v>47</v>
      </c>
      <c r="G2" s="34" t="s">
        <v>49</v>
      </c>
      <c r="H2" s="37" t="s">
        <v>56</v>
      </c>
      <c r="I2" s="37" t="s">
        <v>67</v>
      </c>
      <c r="J2" s="37" t="s">
        <v>67</v>
      </c>
      <c r="K2" s="41">
        <f t="shared" ref="K2:K3" si="1">H2-J2</f>
        <v>2</v>
      </c>
      <c r="L2" s="41" t="s">
        <v>129</v>
      </c>
      <c r="M2" s="42"/>
      <c r="N2" s="45"/>
      <c r="O2" s="47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ht="41.25" customHeight="1">
      <c r="A3" s="24" t="s">
        <v>143</v>
      </c>
      <c r="B3" s="25"/>
      <c r="C3" s="25">
        <v>12.0</v>
      </c>
      <c r="D3" s="25">
        <v>18.0</v>
      </c>
      <c r="E3" s="25">
        <v>6.0</v>
      </c>
      <c r="F3" s="30" t="s">
        <v>144</v>
      </c>
      <c r="G3" s="53" t="s">
        <v>49</v>
      </c>
      <c r="H3" s="54">
        <v>1.0</v>
      </c>
      <c r="I3" s="56">
        <v>1.0</v>
      </c>
      <c r="J3" s="56" t="s">
        <v>67</v>
      </c>
      <c r="K3" s="41">
        <f t="shared" si="1"/>
        <v>1</v>
      </c>
      <c r="L3" s="41" t="s">
        <v>151</v>
      </c>
      <c r="M3" s="57" t="s">
        <v>152</v>
      </c>
      <c r="N3" s="17"/>
      <c r="O3" s="19" t="s">
        <v>55</v>
      </c>
      <c r="P3" s="20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ht="41.25" customHeight="1">
      <c r="A4" s="59" t="s">
        <v>156</v>
      </c>
      <c r="B4" s="25"/>
      <c r="C4" s="25">
        <v>1.0</v>
      </c>
      <c r="D4" s="25">
        <v>4.0</v>
      </c>
      <c r="E4" s="25">
        <v>1.0</v>
      </c>
      <c r="F4" s="30" t="s">
        <v>160</v>
      </c>
      <c r="G4" s="53" t="s">
        <v>161</v>
      </c>
      <c r="H4" s="56" t="s">
        <v>67</v>
      </c>
      <c r="I4" s="56" t="s">
        <v>162</v>
      </c>
      <c r="J4" s="56" t="s">
        <v>162</v>
      </c>
      <c r="K4" s="41"/>
      <c r="L4" s="41" t="s">
        <v>151</v>
      </c>
      <c r="M4" s="57" t="s">
        <v>152</v>
      </c>
      <c r="N4" s="19" t="s">
        <v>163</v>
      </c>
      <c r="O4" s="19" t="s">
        <v>55</v>
      </c>
      <c r="P4" s="20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ht="41.25" customHeight="1">
      <c r="A5" s="24" t="s">
        <v>165</v>
      </c>
      <c r="B5" s="25"/>
      <c r="C5" s="25">
        <v>4.0</v>
      </c>
      <c r="D5" s="25">
        <v>7.0</v>
      </c>
      <c r="E5" s="25">
        <v>2.0</v>
      </c>
      <c r="F5" s="30" t="s">
        <v>166</v>
      </c>
      <c r="G5" s="53" t="s">
        <v>49</v>
      </c>
      <c r="H5" s="54">
        <v>1.0</v>
      </c>
      <c r="I5" s="56" t="s">
        <v>162</v>
      </c>
      <c r="J5" s="56" t="s">
        <v>67</v>
      </c>
      <c r="K5" s="41">
        <f t="shared" ref="K5:K6" si="2">H5-J5</f>
        <v>1</v>
      </c>
      <c r="L5" s="41" t="s">
        <v>151</v>
      </c>
      <c r="M5" s="42"/>
      <c r="N5" s="17"/>
      <c r="O5" s="19" t="s">
        <v>55</v>
      </c>
      <c r="P5" s="20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ht="41.25" customHeight="1">
      <c r="A6" s="24" t="s">
        <v>168</v>
      </c>
      <c r="B6" s="25"/>
      <c r="C6" s="25">
        <v>6.0</v>
      </c>
      <c r="D6" s="25">
        <v>14.0</v>
      </c>
      <c r="E6" s="25">
        <v>2.0</v>
      </c>
      <c r="F6" s="30" t="s">
        <v>172</v>
      </c>
      <c r="G6" s="53" t="s">
        <v>49</v>
      </c>
      <c r="H6" s="56" t="s">
        <v>162</v>
      </c>
      <c r="I6" s="56" t="s">
        <v>162</v>
      </c>
      <c r="J6" s="56" t="s">
        <v>67</v>
      </c>
      <c r="K6" s="41">
        <f t="shared" si="2"/>
        <v>1</v>
      </c>
      <c r="L6" s="41" t="s">
        <v>151</v>
      </c>
      <c r="M6" s="42"/>
      <c r="N6" s="17"/>
      <c r="O6" s="19" t="s">
        <v>55</v>
      </c>
      <c r="P6" s="20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ht="41.25" customHeight="1">
      <c r="A7" s="59" t="s">
        <v>175</v>
      </c>
      <c r="B7" s="25"/>
      <c r="C7" s="25">
        <v>7.0</v>
      </c>
      <c r="D7" s="25">
        <v>2.0</v>
      </c>
      <c r="E7" s="25">
        <v>0.0</v>
      </c>
      <c r="F7" s="30" t="s">
        <v>176</v>
      </c>
      <c r="G7" s="53" t="s">
        <v>178</v>
      </c>
      <c r="H7" s="56" t="s">
        <v>67</v>
      </c>
      <c r="I7" s="54">
        <v>1.0</v>
      </c>
      <c r="J7" s="54">
        <v>1.0</v>
      </c>
      <c r="K7" s="41"/>
      <c r="L7" s="41" t="s">
        <v>151</v>
      </c>
      <c r="M7" s="42"/>
      <c r="N7" s="19"/>
      <c r="O7" s="19" t="s">
        <v>55</v>
      </c>
      <c r="P7" s="20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ht="41.25" customHeight="1">
      <c r="A8" s="59" t="s">
        <v>184</v>
      </c>
      <c r="B8" s="25"/>
      <c r="C8" s="25">
        <v>8.0</v>
      </c>
      <c r="D8" s="25">
        <v>5.0</v>
      </c>
      <c r="E8" s="25">
        <v>1.0</v>
      </c>
      <c r="F8" s="30" t="s">
        <v>186</v>
      </c>
      <c r="G8" s="53" t="s">
        <v>48</v>
      </c>
      <c r="H8" s="56" t="s">
        <v>67</v>
      </c>
      <c r="I8" s="56" t="s">
        <v>67</v>
      </c>
      <c r="J8" s="54">
        <v>2.0</v>
      </c>
      <c r="K8" s="41"/>
      <c r="L8" s="41" t="s">
        <v>151</v>
      </c>
      <c r="M8" s="42"/>
      <c r="N8" s="17"/>
      <c r="O8" s="19" t="s">
        <v>55</v>
      </c>
      <c r="P8" s="20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ht="41.25" customHeight="1">
      <c r="A9" s="59" t="s">
        <v>187</v>
      </c>
      <c r="B9" s="64" t="s">
        <v>167</v>
      </c>
      <c r="C9" s="25">
        <v>9.0</v>
      </c>
      <c r="D9" s="25">
        <v>9.0</v>
      </c>
      <c r="E9" s="25">
        <v>1.0</v>
      </c>
      <c r="F9" s="30" t="s">
        <v>166</v>
      </c>
      <c r="G9" s="53" t="s">
        <v>49</v>
      </c>
      <c r="H9" s="56" t="s">
        <v>67</v>
      </c>
      <c r="I9" s="54">
        <v>2.0</v>
      </c>
      <c r="J9" s="54">
        <v>1.0</v>
      </c>
      <c r="K9" s="41"/>
      <c r="L9" s="41" t="s">
        <v>151</v>
      </c>
      <c r="M9" s="42"/>
      <c r="N9" s="17"/>
      <c r="O9" s="19" t="s">
        <v>55</v>
      </c>
      <c r="P9" s="20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ht="41.25" customHeight="1">
      <c r="A10" s="24" t="s">
        <v>191</v>
      </c>
      <c r="B10" s="25"/>
      <c r="C10" s="25">
        <v>10.0</v>
      </c>
      <c r="D10" s="25">
        <v>18.0</v>
      </c>
      <c r="E10" s="25">
        <v>8.0</v>
      </c>
      <c r="F10" s="30" t="s">
        <v>192</v>
      </c>
      <c r="G10" s="53" t="s">
        <v>49</v>
      </c>
      <c r="H10" s="56" t="s">
        <v>67</v>
      </c>
      <c r="I10" s="56" t="s">
        <v>56</v>
      </c>
      <c r="J10" s="56" t="s">
        <v>67</v>
      </c>
      <c r="K10" s="41">
        <f t="shared" ref="K10:K12" si="3">H10-J10</f>
        <v>0</v>
      </c>
      <c r="L10" s="41" t="s">
        <v>151</v>
      </c>
      <c r="M10" s="42"/>
      <c r="N10" s="17"/>
      <c r="O10" s="19" t="s">
        <v>55</v>
      </c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ht="41.25" customHeight="1">
      <c r="A11" s="24" t="s">
        <v>197</v>
      </c>
      <c r="B11" s="25"/>
      <c r="C11" s="25">
        <v>11.0</v>
      </c>
      <c r="D11" s="25">
        <v>9.0</v>
      </c>
      <c r="E11" s="25">
        <v>4.0</v>
      </c>
      <c r="F11" s="30" t="s">
        <v>202</v>
      </c>
      <c r="G11" s="53" t="s">
        <v>49</v>
      </c>
      <c r="H11" s="54">
        <v>2.0</v>
      </c>
      <c r="I11" s="56" t="s">
        <v>67</v>
      </c>
      <c r="J11" s="56" t="s">
        <v>67</v>
      </c>
      <c r="K11" s="41">
        <f t="shared" si="3"/>
        <v>2</v>
      </c>
      <c r="L11" s="41" t="s">
        <v>151</v>
      </c>
      <c r="M11" s="42"/>
      <c r="N11" s="17"/>
      <c r="O11" s="19" t="s">
        <v>55</v>
      </c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ht="41.25" customHeight="1">
      <c r="A12" s="24" t="s">
        <v>207</v>
      </c>
      <c r="B12" s="25"/>
      <c r="C12" s="25">
        <v>13.0</v>
      </c>
      <c r="D12" s="25">
        <v>16.0</v>
      </c>
      <c r="E12" s="25">
        <v>7.0</v>
      </c>
      <c r="F12" s="30" t="s">
        <v>208</v>
      </c>
      <c r="G12" s="53" t="s">
        <v>49</v>
      </c>
      <c r="H12" s="54">
        <v>1.0</v>
      </c>
      <c r="I12" s="56" t="s">
        <v>67</v>
      </c>
      <c r="J12" s="56" t="s">
        <v>67</v>
      </c>
      <c r="K12" s="41">
        <f t="shared" si="3"/>
        <v>1</v>
      </c>
      <c r="L12" s="41" t="s">
        <v>151</v>
      </c>
      <c r="M12" s="42"/>
      <c r="N12" s="17"/>
      <c r="O12" s="19" t="s">
        <v>55</v>
      </c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ht="41.25" customHeight="1">
      <c r="A13" s="59" t="s">
        <v>212</v>
      </c>
      <c r="B13" s="25"/>
      <c r="C13" s="25">
        <v>14.0</v>
      </c>
      <c r="D13" s="65">
        <v>49.0</v>
      </c>
      <c r="E13" s="65">
        <v>35.0</v>
      </c>
      <c r="F13" s="30" t="s">
        <v>217</v>
      </c>
      <c r="G13" s="53" t="s">
        <v>161</v>
      </c>
      <c r="H13" s="56" t="s">
        <v>67</v>
      </c>
      <c r="I13" s="56" t="s">
        <v>162</v>
      </c>
      <c r="J13" s="56" t="s">
        <v>162</v>
      </c>
      <c r="K13" s="41"/>
      <c r="L13" s="41" t="s">
        <v>151</v>
      </c>
      <c r="M13" s="57" t="s">
        <v>152</v>
      </c>
      <c r="N13" s="17"/>
      <c r="O13" s="19" t="s">
        <v>55</v>
      </c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ht="41.25" customHeight="1">
      <c r="A14" s="59" t="s">
        <v>223</v>
      </c>
      <c r="B14" s="25"/>
      <c r="C14" s="25">
        <v>15.0</v>
      </c>
      <c r="D14" s="25">
        <v>9.0</v>
      </c>
      <c r="E14" s="25">
        <v>2.0</v>
      </c>
      <c r="F14" s="30" t="s">
        <v>225</v>
      </c>
      <c r="G14" s="53" t="s">
        <v>48</v>
      </c>
      <c r="H14" s="56" t="s">
        <v>67</v>
      </c>
      <c r="I14" s="56" t="s">
        <v>67</v>
      </c>
      <c r="J14" s="54">
        <v>2.0</v>
      </c>
      <c r="K14" s="41"/>
      <c r="L14" s="41" t="s">
        <v>151</v>
      </c>
      <c r="M14" s="42"/>
      <c r="N14" s="17"/>
      <c r="O14" s="19" t="s">
        <v>55</v>
      </c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ht="41.25" customHeight="1">
      <c r="A15" s="24" t="s">
        <v>213</v>
      </c>
      <c r="B15" s="25"/>
      <c r="C15" s="25">
        <v>17.0</v>
      </c>
      <c r="D15" s="25">
        <v>2.0</v>
      </c>
      <c r="E15" s="25">
        <v>1.0</v>
      </c>
      <c r="F15" s="30" t="s">
        <v>228</v>
      </c>
      <c r="G15" s="53" t="s">
        <v>49</v>
      </c>
      <c r="H15" s="56" t="s">
        <v>162</v>
      </c>
      <c r="I15" s="56" t="s">
        <v>67</v>
      </c>
      <c r="J15" s="56" t="s">
        <v>162</v>
      </c>
      <c r="K15" s="41">
        <f t="shared" ref="K15:K16" si="4">H15-J15</f>
        <v>0</v>
      </c>
      <c r="L15" s="41" t="s">
        <v>151</v>
      </c>
      <c r="M15" s="42"/>
      <c r="N15" s="17"/>
      <c r="O15" s="19" t="s">
        <v>55</v>
      </c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ht="41.25" customHeight="1">
      <c r="A16" s="24" t="s">
        <v>219</v>
      </c>
      <c r="B16" s="25"/>
      <c r="C16" s="25">
        <v>21.0</v>
      </c>
      <c r="D16" s="25">
        <v>3.0</v>
      </c>
      <c r="E16" s="25">
        <v>1.0</v>
      </c>
      <c r="F16" s="30" t="s">
        <v>238</v>
      </c>
      <c r="G16" s="34" t="s">
        <v>49</v>
      </c>
      <c r="H16" s="56" t="s">
        <v>56</v>
      </c>
      <c r="I16" s="56" t="s">
        <v>162</v>
      </c>
      <c r="J16" s="56" t="s">
        <v>67</v>
      </c>
      <c r="K16" s="41">
        <f t="shared" si="4"/>
        <v>2</v>
      </c>
      <c r="L16" s="41" t="s">
        <v>151</v>
      </c>
      <c r="M16" s="42"/>
      <c r="N16" s="17"/>
      <c r="O16" s="19" t="s">
        <v>55</v>
      </c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ht="41.25" customHeight="1">
      <c r="A17" s="24" t="s">
        <v>242</v>
      </c>
      <c r="B17" s="25"/>
      <c r="C17" s="25">
        <v>26.0</v>
      </c>
      <c r="D17" s="25">
        <v>2.0</v>
      </c>
      <c r="E17" s="25">
        <v>1.0</v>
      </c>
      <c r="F17" s="30" t="s">
        <v>245</v>
      </c>
      <c r="G17" s="53" t="s">
        <v>48</v>
      </c>
      <c r="H17" s="56" t="s">
        <v>67</v>
      </c>
      <c r="I17" s="56" t="s">
        <v>67</v>
      </c>
      <c r="J17" s="54">
        <v>2.0</v>
      </c>
      <c r="K17" s="41"/>
      <c r="L17" s="41" t="s">
        <v>151</v>
      </c>
      <c r="M17" s="42"/>
      <c r="N17" s="17"/>
      <c r="O17" s="19" t="s">
        <v>55</v>
      </c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ht="41.25" customHeight="1">
      <c r="A18" s="24" t="s">
        <v>226</v>
      </c>
      <c r="B18" s="25"/>
      <c r="C18" s="25">
        <v>28.0</v>
      </c>
      <c r="D18" s="25">
        <v>6.0</v>
      </c>
      <c r="E18" s="25">
        <v>1.0</v>
      </c>
      <c r="F18" s="30" t="s">
        <v>254</v>
      </c>
      <c r="G18" s="34" t="s">
        <v>49</v>
      </c>
      <c r="H18" s="56" t="s">
        <v>56</v>
      </c>
      <c r="I18" s="56" t="s">
        <v>67</v>
      </c>
      <c r="J18" s="56" t="s">
        <v>67</v>
      </c>
      <c r="K18" s="41">
        <f>H18-J18</f>
        <v>2</v>
      </c>
      <c r="L18" s="41" t="s">
        <v>151</v>
      </c>
      <c r="M18" s="42"/>
      <c r="N18" s="17"/>
      <c r="O18" s="19" t="s">
        <v>55</v>
      </c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ht="41.25" customHeight="1">
      <c r="A19" s="59" t="s">
        <v>260</v>
      </c>
      <c r="B19" s="25"/>
      <c r="C19" s="25">
        <v>30.0</v>
      </c>
      <c r="D19" s="25">
        <v>2.0</v>
      </c>
      <c r="E19" s="25">
        <v>1.0</v>
      </c>
      <c r="F19" s="30" t="s">
        <v>263</v>
      </c>
      <c r="G19" s="53" t="s">
        <v>48</v>
      </c>
      <c r="H19" s="56" t="s">
        <v>67</v>
      </c>
      <c r="I19" s="56" t="s">
        <v>67</v>
      </c>
      <c r="J19" s="54">
        <v>2.0</v>
      </c>
      <c r="K19" s="41"/>
      <c r="L19" s="41" t="s">
        <v>151</v>
      </c>
      <c r="M19" s="42"/>
      <c r="N19" s="17"/>
      <c r="O19" s="19" t="s">
        <v>55</v>
      </c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ht="41.25" customHeight="1">
      <c r="A20" s="59" t="s">
        <v>271</v>
      </c>
      <c r="B20" s="25"/>
      <c r="C20" s="25">
        <v>32.0</v>
      </c>
      <c r="D20" s="25">
        <v>10.0</v>
      </c>
      <c r="E20" s="25">
        <v>2.0</v>
      </c>
      <c r="F20" s="30" t="s">
        <v>272</v>
      </c>
      <c r="G20" s="53" t="s">
        <v>48</v>
      </c>
      <c r="H20" s="56" t="s">
        <v>67</v>
      </c>
      <c r="I20" s="56" t="s">
        <v>162</v>
      </c>
      <c r="J20" s="54">
        <v>1.0</v>
      </c>
      <c r="K20" s="41"/>
      <c r="L20" s="41" t="s">
        <v>151</v>
      </c>
      <c r="M20" s="42"/>
      <c r="N20" s="17"/>
      <c r="O20" s="19" t="s">
        <v>55</v>
      </c>
      <c r="P20" s="20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ht="41.25" customHeight="1">
      <c r="A21" s="24" t="s">
        <v>277</v>
      </c>
      <c r="B21" s="25"/>
      <c r="C21" s="25">
        <v>35.0</v>
      </c>
      <c r="D21" s="25">
        <v>7.0</v>
      </c>
      <c r="E21" s="25">
        <v>1.0</v>
      </c>
      <c r="F21" s="30" t="s">
        <v>278</v>
      </c>
      <c r="G21" s="34" t="s">
        <v>48</v>
      </c>
      <c r="H21" s="56" t="s">
        <v>67</v>
      </c>
      <c r="I21" s="56" t="s">
        <v>67</v>
      </c>
      <c r="J21" s="56" t="s">
        <v>56</v>
      </c>
      <c r="K21" s="41"/>
      <c r="L21" s="41" t="s">
        <v>151</v>
      </c>
      <c r="M21" s="42"/>
      <c r="N21" s="17"/>
      <c r="O21" s="19" t="s">
        <v>55</v>
      </c>
      <c r="P21" s="20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ht="41.25" customHeight="1">
      <c r="A22" s="24" t="s">
        <v>231</v>
      </c>
      <c r="B22" s="25"/>
      <c r="C22" s="25">
        <v>36.0</v>
      </c>
      <c r="D22" s="25">
        <v>5.0</v>
      </c>
      <c r="E22" s="25">
        <v>2.0</v>
      </c>
      <c r="F22" s="30" t="s">
        <v>284</v>
      </c>
      <c r="G22" s="53" t="s">
        <v>49</v>
      </c>
      <c r="H22" s="56" t="s">
        <v>162</v>
      </c>
      <c r="I22" s="56" t="s">
        <v>162</v>
      </c>
      <c r="J22" s="56" t="s">
        <v>67</v>
      </c>
      <c r="K22" s="41">
        <f t="shared" ref="K22:K27" si="5">H22-J22</f>
        <v>1</v>
      </c>
      <c r="L22" s="41" t="s">
        <v>151</v>
      </c>
      <c r="M22" s="42"/>
      <c r="N22" s="17"/>
      <c r="O22" s="19" t="s">
        <v>55</v>
      </c>
      <c r="P22" s="20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ht="41.25" customHeight="1">
      <c r="A23" s="59" t="s">
        <v>236</v>
      </c>
      <c r="B23" s="25"/>
      <c r="C23" s="25">
        <v>39.0</v>
      </c>
      <c r="D23" s="25">
        <v>6.0</v>
      </c>
      <c r="E23" s="25">
        <v>2.0</v>
      </c>
      <c r="F23" s="30" t="s">
        <v>300</v>
      </c>
      <c r="G23" s="53" t="s">
        <v>49</v>
      </c>
      <c r="H23" s="54">
        <v>2.0</v>
      </c>
      <c r="I23" s="56" t="s">
        <v>67</v>
      </c>
      <c r="J23" s="56" t="s">
        <v>67</v>
      </c>
      <c r="K23" s="41">
        <f t="shared" si="5"/>
        <v>2</v>
      </c>
      <c r="L23" s="41" t="s">
        <v>151</v>
      </c>
      <c r="M23" s="57" t="s">
        <v>304</v>
      </c>
      <c r="N23" s="17"/>
      <c r="O23" s="19" t="s">
        <v>55</v>
      </c>
      <c r="P23" s="20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ht="41.25" customHeight="1">
      <c r="A24" s="24" t="s">
        <v>243</v>
      </c>
      <c r="B24" s="25"/>
      <c r="C24" s="25">
        <v>41.0</v>
      </c>
      <c r="D24" s="25">
        <v>1.0</v>
      </c>
      <c r="E24" s="25">
        <v>1.0</v>
      </c>
      <c r="F24" s="30" t="s">
        <v>308</v>
      </c>
      <c r="G24" s="53" t="s">
        <v>49</v>
      </c>
      <c r="H24" s="54">
        <v>1.0</v>
      </c>
      <c r="I24" s="56" t="s">
        <v>67</v>
      </c>
      <c r="J24" s="56" t="s">
        <v>67</v>
      </c>
      <c r="K24" s="41">
        <f t="shared" si="5"/>
        <v>1</v>
      </c>
      <c r="L24" s="41" t="s">
        <v>151</v>
      </c>
      <c r="M24" s="42"/>
      <c r="N24" s="17"/>
      <c r="O24" s="19" t="s">
        <v>55</v>
      </c>
      <c r="P24" s="20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ht="41.25" customHeight="1">
      <c r="A25" s="24" t="s">
        <v>249</v>
      </c>
      <c r="B25" s="25"/>
      <c r="C25" s="25">
        <v>42.0</v>
      </c>
      <c r="D25" s="25">
        <v>14.0</v>
      </c>
      <c r="E25" s="25">
        <v>2.0</v>
      </c>
      <c r="F25" s="30" t="s">
        <v>316</v>
      </c>
      <c r="G25" s="53" t="s">
        <v>49</v>
      </c>
      <c r="H25" s="56" t="s">
        <v>67</v>
      </c>
      <c r="I25" s="56" t="s">
        <v>56</v>
      </c>
      <c r="J25" s="56" t="s">
        <v>67</v>
      </c>
      <c r="K25" s="41">
        <f t="shared" si="5"/>
        <v>0</v>
      </c>
      <c r="L25" s="41" t="s">
        <v>151</v>
      </c>
      <c r="M25" s="42"/>
      <c r="N25" s="17"/>
      <c r="O25" s="19" t="s">
        <v>55</v>
      </c>
      <c r="P25" s="20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ht="41.25" customHeight="1">
      <c r="A26" s="24" t="s">
        <v>255</v>
      </c>
      <c r="B26" s="25"/>
      <c r="C26" s="25">
        <v>44.0</v>
      </c>
      <c r="D26" s="25">
        <v>4.0</v>
      </c>
      <c r="E26" s="25">
        <v>1.0</v>
      </c>
      <c r="F26" s="30" t="s">
        <v>321</v>
      </c>
      <c r="G26" s="53" t="s">
        <v>49</v>
      </c>
      <c r="H26" s="56" t="s">
        <v>162</v>
      </c>
      <c r="I26" s="56" t="s">
        <v>162</v>
      </c>
      <c r="J26" s="56" t="s">
        <v>162</v>
      </c>
      <c r="K26" s="41">
        <f t="shared" si="5"/>
        <v>0</v>
      </c>
      <c r="L26" s="41" t="s">
        <v>151</v>
      </c>
      <c r="M26" s="42"/>
      <c r="N26" s="17"/>
      <c r="O26" s="19" t="s">
        <v>55</v>
      </c>
      <c r="P26" s="20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ht="41.25" customHeight="1">
      <c r="A27" s="24" t="s">
        <v>261</v>
      </c>
      <c r="B27" s="25"/>
      <c r="C27" s="64">
        <v>47.0</v>
      </c>
      <c r="D27" s="25">
        <v>6.0</v>
      </c>
      <c r="E27" s="25">
        <v>2.0</v>
      </c>
      <c r="F27" s="30" t="s">
        <v>325</v>
      </c>
      <c r="G27" s="53" t="s">
        <v>49</v>
      </c>
      <c r="H27" s="54">
        <v>2.0</v>
      </c>
      <c r="I27" s="56" t="s">
        <v>67</v>
      </c>
      <c r="J27" s="56" t="s">
        <v>67</v>
      </c>
      <c r="K27" s="41">
        <f t="shared" si="5"/>
        <v>2</v>
      </c>
      <c r="L27" s="41" t="s">
        <v>151</v>
      </c>
      <c r="M27" s="42"/>
      <c r="N27" s="17"/>
      <c r="O27" s="19" t="s">
        <v>55</v>
      </c>
      <c r="P27" s="20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ht="41.25" customHeight="1">
      <c r="A28" s="59" t="s">
        <v>333</v>
      </c>
      <c r="B28" s="25"/>
      <c r="C28" s="25">
        <v>48.0</v>
      </c>
      <c r="D28" s="25">
        <v>2.0</v>
      </c>
      <c r="E28" s="25">
        <v>1.0</v>
      </c>
      <c r="F28" s="30" t="s">
        <v>334</v>
      </c>
      <c r="G28" s="53" t="s">
        <v>178</v>
      </c>
      <c r="H28" s="56" t="s">
        <v>67</v>
      </c>
      <c r="I28" s="56" t="s">
        <v>162</v>
      </c>
      <c r="J28" s="56" t="s">
        <v>162</v>
      </c>
      <c r="K28" s="41"/>
      <c r="L28" s="41" t="s">
        <v>151</v>
      </c>
      <c r="M28" s="42"/>
      <c r="N28" s="17"/>
      <c r="O28" s="19" t="s">
        <v>55</v>
      </c>
      <c r="P28" s="20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ht="41.25" customHeight="1">
      <c r="A29" s="24" t="s">
        <v>266</v>
      </c>
      <c r="B29" s="25"/>
      <c r="C29" s="25">
        <v>50.0</v>
      </c>
      <c r="D29" s="25">
        <v>2.0</v>
      </c>
      <c r="E29" s="25">
        <v>0.0</v>
      </c>
      <c r="F29" s="30" t="s">
        <v>340</v>
      </c>
      <c r="G29" s="53" t="s">
        <v>49</v>
      </c>
      <c r="H29" s="56" t="s">
        <v>162</v>
      </c>
      <c r="I29" s="56" t="s">
        <v>162</v>
      </c>
      <c r="J29" s="56" t="s">
        <v>67</v>
      </c>
      <c r="K29" s="41">
        <f t="shared" ref="K29:K32" si="6">H29-J29</f>
        <v>1</v>
      </c>
      <c r="L29" s="41" t="s">
        <v>151</v>
      </c>
      <c r="M29" s="42"/>
      <c r="N29" s="17"/>
      <c r="O29" s="19" t="s">
        <v>55</v>
      </c>
      <c r="P29" s="20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ht="41.25" customHeight="1">
      <c r="A30" s="59" t="s">
        <v>273</v>
      </c>
      <c r="B30" s="25"/>
      <c r="C30" s="25">
        <v>53.0</v>
      </c>
      <c r="D30" s="25">
        <v>12.0</v>
      </c>
      <c r="E30" s="25">
        <v>4.0</v>
      </c>
      <c r="F30" s="30" t="s">
        <v>345</v>
      </c>
      <c r="G30" s="53" t="s">
        <v>49</v>
      </c>
      <c r="H30" s="54">
        <v>2.0</v>
      </c>
      <c r="I30" s="56" t="s">
        <v>67</v>
      </c>
      <c r="J30" s="56" t="s">
        <v>67</v>
      </c>
      <c r="K30" s="41">
        <f t="shared" si="6"/>
        <v>2</v>
      </c>
      <c r="L30" s="41" t="s">
        <v>151</v>
      </c>
      <c r="M30" s="42"/>
      <c r="N30" s="17"/>
      <c r="O30" s="19" t="s">
        <v>55</v>
      </c>
      <c r="P30" s="20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ht="41.25" customHeight="1">
      <c r="A31" s="24" t="s">
        <v>279</v>
      </c>
      <c r="B31" s="25"/>
      <c r="C31" s="25">
        <v>56.0</v>
      </c>
      <c r="D31" s="25">
        <v>4.0</v>
      </c>
      <c r="E31" s="25">
        <v>1.0</v>
      </c>
      <c r="F31" s="30" t="s">
        <v>354</v>
      </c>
      <c r="G31" s="53" t="s">
        <v>49</v>
      </c>
      <c r="H31" s="54">
        <v>1.0</v>
      </c>
      <c r="I31" s="56" t="s">
        <v>162</v>
      </c>
      <c r="J31" s="56" t="s">
        <v>67</v>
      </c>
      <c r="K31" s="41">
        <f t="shared" si="6"/>
        <v>1</v>
      </c>
      <c r="L31" s="41" t="s">
        <v>151</v>
      </c>
      <c r="M31" s="42"/>
      <c r="N31" s="17"/>
      <c r="O31" s="19" t="s">
        <v>55</v>
      </c>
      <c r="P31" s="20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ht="41.25" customHeight="1">
      <c r="A32" s="24" t="s">
        <v>283</v>
      </c>
      <c r="B32" s="25"/>
      <c r="C32" s="25">
        <v>59.0</v>
      </c>
      <c r="D32" s="25">
        <v>16.0</v>
      </c>
      <c r="E32" s="25">
        <v>2.0</v>
      </c>
      <c r="F32" s="30" t="s">
        <v>360</v>
      </c>
      <c r="G32" s="53" t="s">
        <v>49</v>
      </c>
      <c r="H32" s="54">
        <v>1.0</v>
      </c>
      <c r="I32" s="56" t="s">
        <v>162</v>
      </c>
      <c r="J32" s="56" t="s">
        <v>67</v>
      </c>
      <c r="K32" s="41">
        <f t="shared" si="6"/>
        <v>1</v>
      </c>
      <c r="L32" s="41" t="s">
        <v>151</v>
      </c>
      <c r="M32" s="42"/>
      <c r="N32" s="17"/>
      <c r="O32" s="19" t="s">
        <v>55</v>
      </c>
      <c r="P32" s="20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ht="41.25" customHeight="1">
      <c r="A33" s="24" t="s">
        <v>362</v>
      </c>
      <c r="B33" s="25"/>
      <c r="C33" s="25">
        <v>61.0</v>
      </c>
      <c r="D33" s="25">
        <v>3.0</v>
      </c>
      <c r="E33" s="25">
        <v>1.0</v>
      </c>
      <c r="F33" s="30" t="s">
        <v>364</v>
      </c>
      <c r="G33" s="53" t="s">
        <v>48</v>
      </c>
      <c r="H33" s="56" t="s">
        <v>67</v>
      </c>
      <c r="I33" s="56" t="s">
        <v>67</v>
      </c>
      <c r="J33" s="54">
        <v>2.0</v>
      </c>
      <c r="K33" s="41"/>
      <c r="L33" s="41" t="s">
        <v>151</v>
      </c>
      <c r="M33" s="57"/>
      <c r="N33" s="17"/>
      <c r="O33" s="19" t="s">
        <v>55</v>
      </c>
      <c r="P33" s="20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ht="41.25" customHeight="1">
      <c r="A34" s="24" t="s">
        <v>289</v>
      </c>
      <c r="B34" s="25"/>
      <c r="C34" s="25">
        <v>62.0</v>
      </c>
      <c r="D34" s="25">
        <v>8.0</v>
      </c>
      <c r="E34" s="25">
        <v>2.0</v>
      </c>
      <c r="F34" s="30" t="s">
        <v>368</v>
      </c>
      <c r="G34" s="53" t="s">
        <v>49</v>
      </c>
      <c r="H34" s="54">
        <v>2.0</v>
      </c>
      <c r="I34" s="56" t="s">
        <v>67</v>
      </c>
      <c r="J34" s="56" t="s">
        <v>67</v>
      </c>
      <c r="K34" s="41">
        <f>H34-J34</f>
        <v>2</v>
      </c>
      <c r="L34" s="41" t="s">
        <v>151</v>
      </c>
      <c r="M34" s="57"/>
      <c r="N34" s="17"/>
      <c r="O34" s="19" t="s">
        <v>55</v>
      </c>
      <c r="P34" s="20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ht="41.25" customHeight="1">
      <c r="A35" s="24" t="s">
        <v>378</v>
      </c>
      <c r="B35" s="25"/>
      <c r="C35" s="25">
        <v>64.0</v>
      </c>
      <c r="D35" s="25">
        <v>6.0</v>
      </c>
      <c r="E35" s="25">
        <v>2.0</v>
      </c>
      <c r="F35" s="30" t="s">
        <v>380</v>
      </c>
      <c r="G35" s="53" t="s">
        <v>48</v>
      </c>
      <c r="H35" s="56" t="s">
        <v>67</v>
      </c>
      <c r="I35" s="56" t="s">
        <v>67</v>
      </c>
      <c r="J35" s="54">
        <v>2.0</v>
      </c>
      <c r="K35" s="41"/>
      <c r="L35" s="41" t="s">
        <v>151</v>
      </c>
      <c r="M35" s="57"/>
      <c r="N35" s="17"/>
      <c r="O35" s="19" t="s">
        <v>55</v>
      </c>
      <c r="P35" s="20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ht="41.25" customHeight="1">
      <c r="A36" s="24" t="s">
        <v>293</v>
      </c>
      <c r="B36" s="25"/>
      <c r="C36" s="25">
        <v>68.0</v>
      </c>
      <c r="D36" s="25">
        <v>8.0</v>
      </c>
      <c r="E36" s="25">
        <v>2.0</v>
      </c>
      <c r="F36" s="30" t="s">
        <v>384</v>
      </c>
      <c r="G36" s="53" t="s">
        <v>49</v>
      </c>
      <c r="H36" s="56" t="s">
        <v>162</v>
      </c>
      <c r="I36" s="56" t="s">
        <v>162</v>
      </c>
      <c r="J36" s="56" t="s">
        <v>67</v>
      </c>
      <c r="K36" s="41">
        <f>H36-J36</f>
        <v>1</v>
      </c>
      <c r="L36" s="41" t="s">
        <v>151</v>
      </c>
      <c r="M36" s="42"/>
      <c r="N36" s="17"/>
      <c r="O36" s="19" t="s">
        <v>55</v>
      </c>
      <c r="P36" s="20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ht="41.25" customHeight="1">
      <c r="A37" s="59" t="s">
        <v>388</v>
      </c>
      <c r="B37" s="25"/>
      <c r="C37" s="25">
        <v>70.0</v>
      </c>
      <c r="D37" s="25">
        <v>5.0</v>
      </c>
      <c r="E37" s="25">
        <v>2.0</v>
      </c>
      <c r="F37" s="30" t="s">
        <v>389</v>
      </c>
      <c r="G37" s="53" t="s">
        <v>48</v>
      </c>
      <c r="H37" s="56" t="s">
        <v>67</v>
      </c>
      <c r="I37" s="56" t="s">
        <v>67</v>
      </c>
      <c r="J37" s="54">
        <v>2.0</v>
      </c>
      <c r="K37" s="41"/>
      <c r="L37" s="41" t="s">
        <v>151</v>
      </c>
      <c r="M37" s="42"/>
      <c r="N37" s="17"/>
      <c r="O37" s="19" t="s">
        <v>55</v>
      </c>
      <c r="P37" s="20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ht="41.25" customHeight="1">
      <c r="A38" s="59" t="s">
        <v>392</v>
      </c>
      <c r="B38" s="25"/>
      <c r="C38" s="25">
        <v>71.0</v>
      </c>
      <c r="D38" s="25">
        <v>8.0</v>
      </c>
      <c r="E38" s="25">
        <v>1.0</v>
      </c>
      <c r="F38" s="30" t="s">
        <v>393</v>
      </c>
      <c r="G38" s="53" t="s">
        <v>48</v>
      </c>
      <c r="H38" s="56" t="s">
        <v>67</v>
      </c>
      <c r="I38" s="56" t="s">
        <v>67</v>
      </c>
      <c r="J38" s="54">
        <v>2.0</v>
      </c>
      <c r="K38" s="41"/>
      <c r="L38" s="41" t="s">
        <v>151</v>
      </c>
      <c r="M38" s="42"/>
      <c r="N38" s="17"/>
      <c r="O38" s="19" t="s">
        <v>55</v>
      </c>
      <c r="P38" s="20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ht="41.25" customHeight="1">
      <c r="A39" s="59" t="s">
        <v>298</v>
      </c>
      <c r="B39" s="25"/>
      <c r="C39" s="25">
        <v>72.0</v>
      </c>
      <c r="D39" s="25">
        <v>3.0</v>
      </c>
      <c r="E39" s="25">
        <v>1.0</v>
      </c>
      <c r="F39" s="30" t="s">
        <v>396</v>
      </c>
      <c r="G39" s="53" t="s">
        <v>49</v>
      </c>
      <c r="H39" s="56" t="s">
        <v>67</v>
      </c>
      <c r="I39" s="56" t="s">
        <v>162</v>
      </c>
      <c r="J39" s="54">
        <v>1.0</v>
      </c>
      <c r="K39" s="41"/>
      <c r="L39" s="41" t="s">
        <v>151</v>
      </c>
      <c r="M39" s="42"/>
      <c r="N39" s="17"/>
      <c r="O39" s="19" t="s">
        <v>55</v>
      </c>
      <c r="P39" s="20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ht="41.25" customHeight="1">
      <c r="A40" s="24" t="s">
        <v>305</v>
      </c>
      <c r="B40" s="25"/>
      <c r="C40" s="25">
        <v>74.0</v>
      </c>
      <c r="D40" s="25">
        <v>7.0</v>
      </c>
      <c r="E40" s="25">
        <v>1.0</v>
      </c>
      <c r="F40" s="30" t="s">
        <v>397</v>
      </c>
      <c r="G40" s="53" t="s">
        <v>49</v>
      </c>
      <c r="H40" s="54">
        <v>2.0</v>
      </c>
      <c r="I40" s="56" t="s">
        <v>67</v>
      </c>
      <c r="J40" s="54">
        <v>2.0</v>
      </c>
      <c r="K40" s="41">
        <f>H40-J40</f>
        <v>0</v>
      </c>
      <c r="L40" s="41" t="s">
        <v>151</v>
      </c>
      <c r="M40" s="42"/>
      <c r="N40" s="17"/>
      <c r="O40" s="19" t="s">
        <v>55</v>
      </c>
      <c r="P40" s="20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ht="41.25" customHeight="1">
      <c r="A41" s="24" t="s">
        <v>405</v>
      </c>
      <c r="B41" s="25"/>
      <c r="C41" s="25">
        <v>75.0</v>
      </c>
      <c r="D41" s="25">
        <v>2.0</v>
      </c>
      <c r="E41" s="25">
        <v>1.0</v>
      </c>
      <c r="F41" s="30" t="s">
        <v>407</v>
      </c>
      <c r="G41" s="53" t="s">
        <v>48</v>
      </c>
      <c r="H41" s="56" t="s">
        <v>67</v>
      </c>
      <c r="I41" s="56" t="s">
        <v>67</v>
      </c>
      <c r="J41" s="54">
        <v>2.0</v>
      </c>
      <c r="K41" s="41"/>
      <c r="L41" s="41" t="s">
        <v>151</v>
      </c>
      <c r="M41" s="57"/>
      <c r="N41" s="17"/>
      <c r="O41" s="19" t="s">
        <v>55</v>
      </c>
      <c r="P41" s="20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ht="53.25" customHeight="1">
      <c r="A42" s="59" t="s">
        <v>413</v>
      </c>
      <c r="B42" s="25"/>
      <c r="C42" s="25">
        <v>76.0</v>
      </c>
      <c r="D42" s="25">
        <v>9.0</v>
      </c>
      <c r="E42" s="25">
        <v>2.0</v>
      </c>
      <c r="F42" s="30" t="s">
        <v>414</v>
      </c>
      <c r="G42" s="53" t="s">
        <v>48</v>
      </c>
      <c r="H42" s="56" t="s">
        <v>67</v>
      </c>
      <c r="I42" s="56" t="s">
        <v>67</v>
      </c>
      <c r="J42" s="54">
        <v>1.0</v>
      </c>
      <c r="K42" s="41"/>
      <c r="L42" s="41" t="s">
        <v>151</v>
      </c>
      <c r="M42" s="42"/>
      <c r="N42" s="17"/>
      <c r="O42" s="19" t="s">
        <v>55</v>
      </c>
      <c r="P42" s="20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ht="41.25" customHeight="1">
      <c r="A43" s="24" t="s">
        <v>311</v>
      </c>
      <c r="B43" s="25"/>
      <c r="C43" s="25">
        <v>77.0</v>
      </c>
      <c r="D43" s="25">
        <v>7.0</v>
      </c>
      <c r="E43" s="25">
        <v>2.0</v>
      </c>
      <c r="F43" s="30" t="s">
        <v>417</v>
      </c>
      <c r="G43" s="53" t="s">
        <v>49</v>
      </c>
      <c r="H43" s="54">
        <v>1.0</v>
      </c>
      <c r="I43" s="56" t="s">
        <v>162</v>
      </c>
      <c r="J43" s="56" t="s">
        <v>67</v>
      </c>
      <c r="K43" s="41">
        <f>H43-J43</f>
        <v>1</v>
      </c>
      <c r="L43" s="41" t="s">
        <v>151</v>
      </c>
      <c r="M43" s="42"/>
      <c r="N43" s="17"/>
      <c r="O43" s="19" t="s">
        <v>55</v>
      </c>
      <c r="P43" s="20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ht="41.25" customHeight="1">
      <c r="A44" s="59" t="s">
        <v>426</v>
      </c>
      <c r="B44" s="25"/>
      <c r="C44" s="25">
        <v>82.0</v>
      </c>
      <c r="D44" s="25">
        <v>1.0</v>
      </c>
      <c r="E44" s="25">
        <v>0.0</v>
      </c>
      <c r="F44" s="30" t="s">
        <v>427</v>
      </c>
      <c r="G44" s="53" t="s">
        <v>178</v>
      </c>
      <c r="H44" s="56" t="s">
        <v>67</v>
      </c>
      <c r="I44" s="56" t="s">
        <v>162</v>
      </c>
      <c r="J44" s="56" t="s">
        <v>162</v>
      </c>
      <c r="K44" s="41"/>
      <c r="L44" s="41" t="s">
        <v>151</v>
      </c>
      <c r="M44" s="42"/>
      <c r="N44" s="17"/>
      <c r="O44" s="19" t="s">
        <v>55</v>
      </c>
      <c r="P44" s="20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ht="41.25" customHeight="1">
      <c r="A45" s="24" t="s">
        <v>317</v>
      </c>
      <c r="B45" s="25"/>
      <c r="C45" s="25">
        <v>83.0</v>
      </c>
      <c r="D45" s="25">
        <v>3.0</v>
      </c>
      <c r="E45" s="25">
        <v>1.0</v>
      </c>
      <c r="F45" s="30" t="s">
        <v>433</v>
      </c>
      <c r="G45" s="53" t="s">
        <v>49</v>
      </c>
      <c r="H45" s="54">
        <v>2.0</v>
      </c>
      <c r="I45" s="56" t="s">
        <v>67</v>
      </c>
      <c r="J45" s="56" t="s">
        <v>67</v>
      </c>
      <c r="K45" s="41">
        <f>H45-J45</f>
        <v>2</v>
      </c>
      <c r="L45" s="41" t="s">
        <v>151</v>
      </c>
      <c r="M45" s="42"/>
      <c r="N45" s="17"/>
      <c r="O45" s="19" t="s">
        <v>55</v>
      </c>
      <c r="P45" s="20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ht="41.25" customHeight="1">
      <c r="A46" s="59" t="s">
        <v>439</v>
      </c>
      <c r="B46" s="25"/>
      <c r="C46" s="25">
        <v>85.0</v>
      </c>
      <c r="D46" s="25">
        <v>2.0</v>
      </c>
      <c r="E46" s="25">
        <v>1.0</v>
      </c>
      <c r="F46" s="30" t="s">
        <v>440</v>
      </c>
      <c r="G46" s="53" t="s">
        <v>178</v>
      </c>
      <c r="H46" s="56" t="s">
        <v>67</v>
      </c>
      <c r="I46" s="56" t="s">
        <v>162</v>
      </c>
      <c r="J46" s="54">
        <v>1.0</v>
      </c>
      <c r="K46" s="41"/>
      <c r="L46" s="41" t="s">
        <v>151</v>
      </c>
      <c r="M46" s="42"/>
      <c r="N46" s="17"/>
      <c r="O46" s="19" t="s">
        <v>55</v>
      </c>
      <c r="P46" s="20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ht="41.25" customHeight="1">
      <c r="A47" s="24" t="s">
        <v>444</v>
      </c>
      <c r="B47" s="25"/>
      <c r="C47" s="25">
        <v>86.0</v>
      </c>
      <c r="D47" s="25">
        <v>16.0</v>
      </c>
      <c r="E47" s="25">
        <v>3.0</v>
      </c>
      <c r="F47" s="30" t="s">
        <v>446</v>
      </c>
      <c r="G47" s="34" t="s">
        <v>48</v>
      </c>
      <c r="H47" s="56" t="s">
        <v>67</v>
      </c>
      <c r="I47" s="56" t="s">
        <v>67</v>
      </c>
      <c r="J47" s="56" t="s">
        <v>56</v>
      </c>
      <c r="K47" s="41"/>
      <c r="L47" s="41" t="s">
        <v>151</v>
      </c>
      <c r="M47" s="42"/>
      <c r="N47" s="17"/>
      <c r="O47" s="19" t="s">
        <v>55</v>
      </c>
      <c r="P47" s="20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ht="41.25" customHeight="1">
      <c r="A48" s="24" t="s">
        <v>322</v>
      </c>
      <c r="B48" s="25"/>
      <c r="C48" s="25">
        <v>87.0</v>
      </c>
      <c r="D48" s="25">
        <v>23.0</v>
      </c>
      <c r="E48" s="25">
        <v>5.0</v>
      </c>
      <c r="F48" s="30" t="s">
        <v>452</v>
      </c>
      <c r="G48" s="53" t="s">
        <v>49</v>
      </c>
      <c r="H48" s="56" t="s">
        <v>162</v>
      </c>
      <c r="I48" s="56" t="s">
        <v>67</v>
      </c>
      <c r="J48" s="56" t="s">
        <v>162</v>
      </c>
      <c r="K48" s="41">
        <f t="shared" ref="K48:K51" si="7">H48-J48</f>
        <v>0</v>
      </c>
      <c r="L48" s="41" t="s">
        <v>151</v>
      </c>
      <c r="M48" s="42"/>
      <c r="N48" s="17"/>
      <c r="O48" s="19" t="s">
        <v>55</v>
      </c>
      <c r="P48" s="20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ht="41.25" customHeight="1">
      <c r="A49" s="24" t="s">
        <v>328</v>
      </c>
      <c r="B49" s="64" t="s">
        <v>167</v>
      </c>
      <c r="C49" s="25">
        <v>89.0</v>
      </c>
      <c r="D49" s="25">
        <v>1.0</v>
      </c>
      <c r="E49" s="25">
        <v>1.0</v>
      </c>
      <c r="F49" s="30" t="s">
        <v>462</v>
      </c>
      <c r="G49" s="53" t="s">
        <v>49</v>
      </c>
      <c r="H49" s="56" t="s">
        <v>67</v>
      </c>
      <c r="I49" s="56" t="s">
        <v>56</v>
      </c>
      <c r="J49" s="56" t="s">
        <v>67</v>
      </c>
      <c r="K49" s="41">
        <f t="shared" si="7"/>
        <v>0</v>
      </c>
      <c r="L49" s="41" t="s">
        <v>151</v>
      </c>
      <c r="M49" s="42"/>
      <c r="N49" s="17"/>
      <c r="O49" s="19" t="s">
        <v>55</v>
      </c>
      <c r="P49" s="20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ht="41.25" customHeight="1">
      <c r="A50" s="24" t="s">
        <v>335</v>
      </c>
      <c r="B50" s="25"/>
      <c r="C50" s="25">
        <v>90.0</v>
      </c>
      <c r="D50" s="25">
        <v>11.0</v>
      </c>
      <c r="E50" s="25">
        <v>3.0</v>
      </c>
      <c r="F50" s="30" t="s">
        <v>472</v>
      </c>
      <c r="G50" s="53" t="s">
        <v>49</v>
      </c>
      <c r="H50" s="56" t="s">
        <v>67</v>
      </c>
      <c r="I50" s="56" t="s">
        <v>56</v>
      </c>
      <c r="J50" s="56" t="s">
        <v>67</v>
      </c>
      <c r="K50" s="41">
        <f t="shared" si="7"/>
        <v>0</v>
      </c>
      <c r="L50" s="41" t="s">
        <v>151</v>
      </c>
      <c r="M50" s="42"/>
      <c r="N50" s="17"/>
      <c r="O50" s="19" t="s">
        <v>55</v>
      </c>
      <c r="P50" s="20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ht="41.25" customHeight="1">
      <c r="A51" s="24" t="s">
        <v>341</v>
      </c>
      <c r="B51" s="25"/>
      <c r="C51" s="25">
        <v>91.0</v>
      </c>
      <c r="D51" s="25">
        <v>5.0</v>
      </c>
      <c r="E51" s="25">
        <v>1.0</v>
      </c>
      <c r="F51" s="30" t="s">
        <v>475</v>
      </c>
      <c r="G51" s="34" t="s">
        <v>49</v>
      </c>
      <c r="H51" s="56" t="s">
        <v>162</v>
      </c>
      <c r="I51" s="56" t="s">
        <v>56</v>
      </c>
      <c r="J51" s="56" t="s">
        <v>67</v>
      </c>
      <c r="K51" s="41">
        <f t="shared" si="7"/>
        <v>1</v>
      </c>
      <c r="L51" s="41" t="s">
        <v>151</v>
      </c>
      <c r="M51" s="42"/>
      <c r="N51" s="17"/>
      <c r="O51" s="19" t="s">
        <v>55</v>
      </c>
      <c r="P51" s="20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ht="41.25" customHeight="1">
      <c r="A52" s="73" t="s">
        <v>488</v>
      </c>
      <c r="B52" s="74"/>
      <c r="C52" s="74">
        <v>93.0</v>
      </c>
      <c r="D52" s="74">
        <v>5.0</v>
      </c>
      <c r="E52" s="74">
        <v>2.0</v>
      </c>
      <c r="F52" s="76" t="s">
        <v>494</v>
      </c>
      <c r="G52" s="77" t="s">
        <v>496</v>
      </c>
      <c r="H52" s="79" t="s">
        <v>162</v>
      </c>
      <c r="I52" s="79" t="s">
        <v>67</v>
      </c>
      <c r="J52" s="79" t="s">
        <v>162</v>
      </c>
      <c r="K52" s="80"/>
      <c r="L52" s="80" t="s">
        <v>129</v>
      </c>
      <c r="M52" s="82"/>
      <c r="N52" s="83" t="s">
        <v>503</v>
      </c>
      <c r="O52" s="84"/>
      <c r="P52" s="85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ht="41.25" customHeight="1">
      <c r="A53" s="59" t="s">
        <v>504</v>
      </c>
      <c r="B53" s="25"/>
      <c r="C53" s="25">
        <v>94.0</v>
      </c>
      <c r="D53" s="25">
        <v>2.0</v>
      </c>
      <c r="E53" s="25">
        <v>1.0</v>
      </c>
      <c r="F53" s="30" t="s">
        <v>505</v>
      </c>
      <c r="G53" s="53" t="s">
        <v>48</v>
      </c>
      <c r="H53" s="37" t="s">
        <v>67</v>
      </c>
      <c r="I53" s="37" t="s">
        <v>67</v>
      </c>
      <c r="J53" s="87">
        <v>2.0</v>
      </c>
      <c r="K53" s="41"/>
      <c r="L53" s="41" t="s">
        <v>129</v>
      </c>
      <c r="M53" s="42"/>
      <c r="N53" s="17"/>
      <c r="O53" s="17"/>
      <c r="P53" s="20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ht="41.25" customHeight="1">
      <c r="A54" s="24" t="s">
        <v>350</v>
      </c>
      <c r="B54" s="25"/>
      <c r="C54" s="25">
        <v>98.0</v>
      </c>
      <c r="D54" s="25">
        <v>13.0</v>
      </c>
      <c r="E54" s="25">
        <v>2.0</v>
      </c>
      <c r="F54" s="30" t="s">
        <v>506</v>
      </c>
      <c r="G54" s="34" t="s">
        <v>49</v>
      </c>
      <c r="H54" s="37" t="s">
        <v>56</v>
      </c>
      <c r="I54" s="37" t="s">
        <v>56</v>
      </c>
      <c r="J54" s="37" t="s">
        <v>67</v>
      </c>
      <c r="K54" s="41">
        <f>H54-J54</f>
        <v>2</v>
      </c>
      <c r="L54" s="41" t="s">
        <v>129</v>
      </c>
      <c r="M54" s="42"/>
      <c r="N54" s="17"/>
      <c r="O54" s="17"/>
      <c r="P54" s="20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ht="41.25" customHeight="1">
      <c r="A55" s="88" t="s">
        <v>507</v>
      </c>
      <c r="B55" s="74"/>
      <c r="C55" s="74">
        <v>101.0</v>
      </c>
      <c r="D55" s="74">
        <v>29.0</v>
      </c>
      <c r="E55" s="74">
        <v>20.0</v>
      </c>
      <c r="F55" s="76" t="s">
        <v>508</v>
      </c>
      <c r="G55" s="77" t="s">
        <v>496</v>
      </c>
      <c r="H55" s="79" t="s">
        <v>67</v>
      </c>
      <c r="I55" s="79" t="s">
        <v>67</v>
      </c>
      <c r="J55" s="79" t="s">
        <v>67</v>
      </c>
      <c r="K55" s="80"/>
      <c r="L55" s="80" t="s">
        <v>129</v>
      </c>
      <c r="M55" s="82"/>
      <c r="N55" s="83" t="s">
        <v>503</v>
      </c>
      <c r="O55" s="84"/>
      <c r="P55" s="85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</row>
    <row r="56" ht="41.25" customHeight="1">
      <c r="A56" s="24" t="s">
        <v>509</v>
      </c>
      <c r="B56" s="25"/>
      <c r="C56" s="25">
        <v>102.0</v>
      </c>
      <c r="D56" s="25">
        <v>16.0</v>
      </c>
      <c r="E56" s="25">
        <v>5.0</v>
      </c>
      <c r="F56" s="30" t="s">
        <v>510</v>
      </c>
      <c r="G56" s="53" t="s">
        <v>48</v>
      </c>
      <c r="H56" s="89"/>
      <c r="I56" s="87">
        <v>1.0</v>
      </c>
      <c r="J56" s="87">
        <v>2.0</v>
      </c>
      <c r="K56" s="41"/>
      <c r="L56" s="41" t="s">
        <v>129</v>
      </c>
      <c r="M56" s="42"/>
      <c r="N56" s="17"/>
      <c r="O56" s="17"/>
      <c r="P56" s="20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ht="41.25" customHeight="1">
      <c r="A57" s="24" t="s">
        <v>355</v>
      </c>
      <c r="B57" s="25"/>
      <c r="C57" s="25">
        <v>104.0</v>
      </c>
      <c r="D57" s="25">
        <v>5.0</v>
      </c>
      <c r="E57" s="25">
        <v>2.0</v>
      </c>
      <c r="F57" s="30" t="s">
        <v>516</v>
      </c>
      <c r="G57" s="34" t="s">
        <v>49</v>
      </c>
      <c r="H57" s="92">
        <v>2.0</v>
      </c>
      <c r="I57" s="37" t="s">
        <v>67</v>
      </c>
      <c r="J57" s="37" t="s">
        <v>67</v>
      </c>
      <c r="K57" s="41">
        <f>H57-J57</f>
        <v>2</v>
      </c>
      <c r="L57" s="41" t="s">
        <v>129</v>
      </c>
      <c r="M57" s="42"/>
      <c r="N57" s="17"/>
      <c r="O57" s="17"/>
      <c r="P57" s="20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ht="41.25" customHeight="1">
      <c r="A58" s="24" t="s">
        <v>532</v>
      </c>
      <c r="B58" s="25"/>
      <c r="C58" s="25">
        <v>105.0</v>
      </c>
      <c r="D58" s="25">
        <v>5.0</v>
      </c>
      <c r="E58" s="25">
        <v>1.0</v>
      </c>
      <c r="F58" s="30" t="s">
        <v>534</v>
      </c>
      <c r="G58" s="53" t="s">
        <v>48</v>
      </c>
      <c r="H58" s="89"/>
      <c r="I58" s="89"/>
      <c r="J58" s="87">
        <v>2.0</v>
      </c>
      <c r="K58" s="41"/>
      <c r="L58" s="41" t="s">
        <v>129</v>
      </c>
      <c r="M58" s="42"/>
      <c r="N58" s="17"/>
      <c r="O58" s="17"/>
      <c r="P58" s="20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ht="41.25" customHeight="1">
      <c r="A59" s="59" t="s">
        <v>361</v>
      </c>
      <c r="B59" s="25"/>
      <c r="C59" s="25">
        <v>107.0</v>
      </c>
      <c r="D59" s="25">
        <v>4.0</v>
      </c>
      <c r="E59" s="25">
        <v>1.0</v>
      </c>
      <c r="F59" s="30" t="s">
        <v>539</v>
      </c>
      <c r="G59" s="53" t="s">
        <v>49</v>
      </c>
      <c r="H59" s="37" t="s">
        <v>162</v>
      </c>
      <c r="I59" s="37" t="s">
        <v>162</v>
      </c>
      <c r="J59" s="37" t="s">
        <v>67</v>
      </c>
      <c r="K59" s="41">
        <f>H59-J59</f>
        <v>1</v>
      </c>
      <c r="L59" s="41" t="s">
        <v>129</v>
      </c>
      <c r="M59" s="42"/>
      <c r="N59" s="17"/>
      <c r="O59" s="17"/>
      <c r="P59" s="20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ht="41.25" customHeight="1">
      <c r="A60" s="24" t="s">
        <v>546</v>
      </c>
      <c r="B60" s="25"/>
      <c r="C60" s="25">
        <v>109.0</v>
      </c>
      <c r="D60" s="25">
        <v>8.0</v>
      </c>
      <c r="E60" s="25">
        <v>2.0</v>
      </c>
      <c r="F60" s="30" t="s">
        <v>547</v>
      </c>
      <c r="G60" s="53" t="s">
        <v>48</v>
      </c>
      <c r="H60" s="37" t="s">
        <v>67</v>
      </c>
      <c r="I60" s="37" t="s">
        <v>67</v>
      </c>
      <c r="J60" s="37" t="s">
        <v>548</v>
      </c>
      <c r="K60" s="41"/>
      <c r="L60" s="41" t="s">
        <v>129</v>
      </c>
      <c r="M60" s="42"/>
      <c r="N60" s="17"/>
      <c r="O60" s="17"/>
      <c r="P60" s="20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ht="41.25" customHeight="1">
      <c r="A61" s="24" t="s">
        <v>551</v>
      </c>
      <c r="B61" s="25"/>
      <c r="C61" s="25">
        <v>110.0</v>
      </c>
      <c r="D61" s="25">
        <v>12.0</v>
      </c>
      <c r="E61" s="25">
        <v>2.0</v>
      </c>
      <c r="F61" s="30" t="s">
        <v>552</v>
      </c>
      <c r="G61" s="53" t="s">
        <v>48</v>
      </c>
      <c r="H61" s="37" t="s">
        <v>67</v>
      </c>
      <c r="I61" s="37" t="s">
        <v>67</v>
      </c>
      <c r="J61" s="92">
        <v>2.0</v>
      </c>
      <c r="K61" s="41"/>
      <c r="L61" s="41" t="s">
        <v>129</v>
      </c>
      <c r="M61" s="42"/>
      <c r="N61" s="17"/>
      <c r="O61" s="17"/>
      <c r="P61" s="20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ht="41.25" customHeight="1">
      <c r="A62" s="24" t="s">
        <v>559</v>
      </c>
      <c r="B62" s="25"/>
      <c r="C62" s="25">
        <v>114.0</v>
      </c>
      <c r="D62" s="25">
        <v>3.0</v>
      </c>
      <c r="E62" s="25">
        <v>1.0</v>
      </c>
      <c r="F62" s="30" t="s">
        <v>561</v>
      </c>
      <c r="G62" s="53" t="s">
        <v>48</v>
      </c>
      <c r="H62" s="37" t="s">
        <v>67</v>
      </c>
      <c r="I62" s="37" t="s">
        <v>162</v>
      </c>
      <c r="J62" s="92">
        <v>1.0</v>
      </c>
      <c r="K62" s="41"/>
      <c r="L62" s="41" t="s">
        <v>129</v>
      </c>
      <c r="M62" s="42"/>
      <c r="N62" s="17"/>
      <c r="O62" s="17"/>
      <c r="P62" s="20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ht="41.25" customHeight="1">
      <c r="A63" s="24" t="s">
        <v>369</v>
      </c>
      <c r="B63" s="25"/>
      <c r="C63" s="25">
        <v>116.0</v>
      </c>
      <c r="D63" s="25">
        <v>2.0</v>
      </c>
      <c r="E63" s="25">
        <v>1.0</v>
      </c>
      <c r="F63" s="30" t="s">
        <v>569</v>
      </c>
      <c r="G63" s="53" t="s">
        <v>49</v>
      </c>
      <c r="H63" s="89"/>
      <c r="I63" s="87">
        <v>2.0</v>
      </c>
      <c r="J63" s="87"/>
      <c r="K63" s="41">
        <f t="shared" ref="K63:K64" si="8">H63-J63</f>
        <v>0</v>
      </c>
      <c r="L63" s="41" t="s">
        <v>129</v>
      </c>
      <c r="M63" s="42"/>
      <c r="N63" s="17"/>
      <c r="O63" s="17"/>
      <c r="P63" s="20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ht="41.25" customHeight="1">
      <c r="A64" s="73" t="s">
        <v>78</v>
      </c>
      <c r="B64" s="74"/>
      <c r="C64" s="74">
        <v>117.0</v>
      </c>
      <c r="D64" s="74">
        <v>5.0</v>
      </c>
      <c r="E64" s="74">
        <v>5.0</v>
      </c>
      <c r="F64" s="76" t="s">
        <v>585</v>
      </c>
      <c r="G64" s="77" t="s">
        <v>496</v>
      </c>
      <c r="H64" s="79" t="s">
        <v>56</v>
      </c>
      <c r="I64" s="79" t="s">
        <v>67</v>
      </c>
      <c r="J64" s="79" t="s">
        <v>67</v>
      </c>
      <c r="K64" s="80">
        <f t="shared" si="8"/>
        <v>2</v>
      </c>
      <c r="L64" s="80" t="s">
        <v>129</v>
      </c>
      <c r="M64" s="82"/>
      <c r="N64" s="84"/>
      <c r="O64" s="84"/>
      <c r="P64" s="85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</row>
    <row r="65" ht="41.25" customHeight="1">
      <c r="A65" s="24" t="s">
        <v>593</v>
      </c>
      <c r="B65" s="25"/>
      <c r="C65" s="25">
        <v>118.0</v>
      </c>
      <c r="D65" s="25">
        <v>10.0</v>
      </c>
      <c r="E65" s="25">
        <v>6.0</v>
      </c>
      <c r="F65" s="30" t="s">
        <v>595</v>
      </c>
      <c r="G65" s="34" t="s">
        <v>48</v>
      </c>
      <c r="H65" s="37" t="s">
        <v>67</v>
      </c>
      <c r="I65" s="37" t="s">
        <v>56</v>
      </c>
      <c r="J65" s="92">
        <v>2.0</v>
      </c>
      <c r="K65" s="41"/>
      <c r="L65" s="41" t="s">
        <v>129</v>
      </c>
      <c r="M65" s="42"/>
      <c r="N65" s="17"/>
      <c r="O65" s="17"/>
      <c r="P65" s="20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ht="41.25" customHeight="1">
      <c r="A66" s="24" t="s">
        <v>600</v>
      </c>
      <c r="B66" s="25"/>
      <c r="C66" s="25">
        <v>122.0</v>
      </c>
      <c r="D66" s="25">
        <v>5.0</v>
      </c>
      <c r="E66" s="25">
        <v>2.0</v>
      </c>
      <c r="F66" s="30" t="s">
        <v>602</v>
      </c>
      <c r="G66" s="98" t="s">
        <v>178</v>
      </c>
      <c r="H66" s="37" t="s">
        <v>67</v>
      </c>
      <c r="I66" s="37" t="s">
        <v>162</v>
      </c>
      <c r="J66" s="37" t="s">
        <v>67</v>
      </c>
      <c r="K66" s="99"/>
      <c r="L66" s="41" t="s">
        <v>129</v>
      </c>
      <c r="M66" s="42"/>
      <c r="N66" s="17"/>
      <c r="O66" s="17"/>
      <c r="P66" s="20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ht="41.25" customHeight="1">
      <c r="A67" s="59" t="s">
        <v>613</v>
      </c>
      <c r="B67" s="25"/>
      <c r="C67" s="25">
        <v>123.0</v>
      </c>
      <c r="D67" s="25">
        <v>5.0</v>
      </c>
      <c r="E67" s="25">
        <v>2.0</v>
      </c>
      <c r="F67" s="30" t="s">
        <v>614</v>
      </c>
      <c r="G67" s="53" t="s">
        <v>48</v>
      </c>
      <c r="H67" s="37" t="s">
        <v>67</v>
      </c>
      <c r="I67" s="37" t="s">
        <v>67</v>
      </c>
      <c r="J67" s="92">
        <v>2.0</v>
      </c>
      <c r="K67" s="41"/>
      <c r="L67" s="41" t="s">
        <v>129</v>
      </c>
      <c r="M67" s="42"/>
      <c r="N67" s="17"/>
      <c r="O67" s="17"/>
      <c r="P67" s="20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ht="41.25" customHeight="1">
      <c r="A68" s="59" t="s">
        <v>621</v>
      </c>
      <c r="B68" s="25"/>
      <c r="C68" s="25">
        <v>127.0</v>
      </c>
      <c r="D68" s="25">
        <v>10.0</v>
      </c>
      <c r="E68" s="25">
        <v>4.0</v>
      </c>
      <c r="F68" s="30" t="s">
        <v>623</v>
      </c>
      <c r="G68" s="98" t="s">
        <v>178</v>
      </c>
      <c r="H68" s="37" t="s">
        <v>67</v>
      </c>
      <c r="I68" s="37" t="s">
        <v>56</v>
      </c>
      <c r="J68" s="37" t="s">
        <v>67</v>
      </c>
      <c r="K68" s="99"/>
      <c r="L68" s="41" t="s">
        <v>129</v>
      </c>
      <c r="M68" s="42"/>
      <c r="N68" s="19" t="s">
        <v>627</v>
      </c>
      <c r="O68" s="17"/>
      <c r="P68" s="20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ht="41.25" customHeight="1">
      <c r="A69" s="59" t="s">
        <v>632</v>
      </c>
      <c r="B69" s="25"/>
      <c r="C69" s="25">
        <v>128.0</v>
      </c>
      <c r="D69" s="25">
        <v>2.0</v>
      </c>
      <c r="E69" s="25">
        <v>0.0</v>
      </c>
      <c r="F69" s="30" t="s">
        <v>633</v>
      </c>
      <c r="G69" s="53" t="s">
        <v>48</v>
      </c>
      <c r="H69" s="37" t="s">
        <v>67</v>
      </c>
      <c r="I69" s="37" t="s">
        <v>67</v>
      </c>
      <c r="J69" s="92">
        <v>2.0</v>
      </c>
      <c r="K69" s="41"/>
      <c r="L69" s="41" t="s">
        <v>129</v>
      </c>
      <c r="M69" s="42"/>
      <c r="N69" s="17"/>
      <c r="O69" s="17"/>
      <c r="P69" s="20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ht="41.25" customHeight="1">
      <c r="A70" s="24" t="s">
        <v>373</v>
      </c>
      <c r="B70" s="25"/>
      <c r="C70" s="25">
        <v>129.0</v>
      </c>
      <c r="D70" s="25">
        <v>5.0</v>
      </c>
      <c r="E70" s="25">
        <v>1.0</v>
      </c>
      <c r="F70" s="30" t="s">
        <v>639</v>
      </c>
      <c r="G70" s="34" t="s">
        <v>49</v>
      </c>
      <c r="H70" s="87">
        <v>1.0</v>
      </c>
      <c r="I70" s="87">
        <v>1.0</v>
      </c>
      <c r="J70" s="89"/>
      <c r="K70" s="41">
        <f t="shared" ref="K70:K71" si="9">H70-J70</f>
        <v>1</v>
      </c>
      <c r="L70" s="41" t="s">
        <v>129</v>
      </c>
      <c r="M70" s="42"/>
      <c r="N70" s="17"/>
      <c r="O70" s="17"/>
      <c r="P70" s="20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ht="41.25" customHeight="1">
      <c r="A71" s="24" t="s">
        <v>379</v>
      </c>
      <c r="B71" s="25"/>
      <c r="C71" s="25">
        <v>130.0</v>
      </c>
      <c r="D71" s="25">
        <v>5.0</v>
      </c>
      <c r="E71" s="25">
        <v>1.0</v>
      </c>
      <c r="F71" s="30" t="s">
        <v>651</v>
      </c>
      <c r="G71" s="34" t="s">
        <v>49</v>
      </c>
      <c r="H71" s="37" t="s">
        <v>67</v>
      </c>
      <c r="I71" s="92">
        <v>2.0</v>
      </c>
      <c r="J71" s="37" t="s">
        <v>67</v>
      </c>
      <c r="K71" s="41">
        <f t="shared" si="9"/>
        <v>0</v>
      </c>
      <c r="L71" s="41" t="s">
        <v>129</v>
      </c>
      <c r="M71" s="42"/>
      <c r="N71" s="17"/>
      <c r="O71" s="17"/>
      <c r="P71" s="20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ht="41.25" customHeight="1">
      <c r="A72" s="24" t="s">
        <v>658</v>
      </c>
      <c r="B72" s="64" t="s">
        <v>167</v>
      </c>
      <c r="C72" s="25">
        <v>131.0</v>
      </c>
      <c r="D72" s="25">
        <v>18.0</v>
      </c>
      <c r="E72" s="25">
        <v>7.0</v>
      </c>
      <c r="F72" s="30" t="s">
        <v>660</v>
      </c>
      <c r="G72" s="98" t="s">
        <v>178</v>
      </c>
      <c r="H72" s="87">
        <v>2.0</v>
      </c>
      <c r="I72" s="89"/>
      <c r="J72" s="87">
        <v>1.0</v>
      </c>
      <c r="K72" s="99"/>
      <c r="L72" s="41" t="s">
        <v>129</v>
      </c>
      <c r="M72" s="42"/>
      <c r="N72" s="17"/>
      <c r="O72" s="17"/>
      <c r="P72" s="20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ht="41.25" customHeight="1">
      <c r="A73" s="24" t="s">
        <v>667</v>
      </c>
      <c r="B73" s="25"/>
      <c r="C73" s="25">
        <v>132.0</v>
      </c>
      <c r="D73" s="25">
        <v>4.0</v>
      </c>
      <c r="E73" s="25">
        <v>1.0</v>
      </c>
      <c r="F73" s="30" t="s">
        <v>669</v>
      </c>
      <c r="G73" s="98" t="s">
        <v>178</v>
      </c>
      <c r="H73" s="87">
        <v>1.0</v>
      </c>
      <c r="I73" s="89"/>
      <c r="J73" s="87">
        <v>1.0</v>
      </c>
      <c r="K73" s="99"/>
      <c r="L73" s="41" t="s">
        <v>129</v>
      </c>
      <c r="M73" s="42"/>
      <c r="N73" s="17"/>
      <c r="O73" s="17"/>
      <c r="P73" s="20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ht="41.25" customHeight="1">
      <c r="A74" s="59" t="s">
        <v>676</v>
      </c>
      <c r="B74" s="25"/>
      <c r="C74" s="25">
        <v>135.0</v>
      </c>
      <c r="D74" s="25">
        <v>15.0</v>
      </c>
      <c r="E74" s="25">
        <v>4.0</v>
      </c>
      <c r="F74" s="30" t="s">
        <v>679</v>
      </c>
      <c r="G74" s="53" t="s">
        <v>48</v>
      </c>
      <c r="H74" s="89"/>
      <c r="I74" s="87">
        <v>2.0</v>
      </c>
      <c r="J74" s="87">
        <v>2.0</v>
      </c>
      <c r="K74" s="41"/>
      <c r="L74" s="41" t="s">
        <v>129</v>
      </c>
      <c r="M74" s="42"/>
      <c r="N74" s="17"/>
      <c r="O74" s="17"/>
      <c r="P74" s="20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ht="41.25" customHeight="1">
      <c r="A75" s="24" t="s">
        <v>686</v>
      </c>
      <c r="B75" s="25"/>
      <c r="C75" s="25">
        <v>136.0</v>
      </c>
      <c r="D75" s="25">
        <v>8.0</v>
      </c>
      <c r="E75" s="25">
        <v>2.0</v>
      </c>
      <c r="F75" s="30" t="s">
        <v>688</v>
      </c>
      <c r="G75" s="53" t="s">
        <v>48</v>
      </c>
      <c r="H75" s="37" t="s">
        <v>67</v>
      </c>
      <c r="I75" s="37" t="s">
        <v>67</v>
      </c>
      <c r="J75" s="92">
        <v>2.0</v>
      </c>
      <c r="K75" s="41"/>
      <c r="L75" s="41" t="s">
        <v>129</v>
      </c>
      <c r="M75" s="42"/>
      <c r="N75" s="17"/>
      <c r="O75" s="17"/>
      <c r="P75" s="20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ht="41.25" customHeight="1">
      <c r="A76" s="24" t="s">
        <v>692</v>
      </c>
      <c r="B76" s="25"/>
      <c r="C76" s="25">
        <v>137.0</v>
      </c>
      <c r="D76" s="25">
        <v>0.0</v>
      </c>
      <c r="E76" s="25">
        <v>0.0</v>
      </c>
      <c r="F76" s="30" t="s">
        <v>694</v>
      </c>
      <c r="G76" s="98" t="s">
        <v>178</v>
      </c>
      <c r="H76" s="37" t="s">
        <v>67</v>
      </c>
      <c r="I76" s="37" t="s">
        <v>162</v>
      </c>
      <c r="J76" s="92">
        <v>1.0</v>
      </c>
      <c r="K76" s="99"/>
      <c r="L76" s="41" t="s">
        <v>129</v>
      </c>
      <c r="M76" s="42"/>
      <c r="N76" s="17"/>
      <c r="O76" s="17"/>
      <c r="P76" s="20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ht="41.25" customHeight="1">
      <c r="A77" s="24" t="s">
        <v>704</v>
      </c>
      <c r="B77" s="25"/>
      <c r="C77" s="25">
        <v>140.0</v>
      </c>
      <c r="D77" s="25">
        <v>13.0</v>
      </c>
      <c r="E77" s="25">
        <v>2.0</v>
      </c>
      <c r="F77" s="30" t="s">
        <v>707</v>
      </c>
      <c r="G77" s="53" t="s">
        <v>48</v>
      </c>
      <c r="H77" s="37" t="s">
        <v>67</v>
      </c>
      <c r="I77" s="37" t="s">
        <v>67</v>
      </c>
      <c r="J77" s="92">
        <v>2.0</v>
      </c>
      <c r="K77" s="41"/>
      <c r="L77" s="41" t="s">
        <v>129</v>
      </c>
      <c r="M77" s="42"/>
      <c r="N77" s="17"/>
      <c r="O77" s="17"/>
      <c r="P77" s="20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ht="41.25" customHeight="1">
      <c r="A78" s="59" t="s">
        <v>711</v>
      </c>
      <c r="B78" s="25"/>
      <c r="C78" s="25">
        <v>142.0</v>
      </c>
      <c r="D78" s="25">
        <v>6.0</v>
      </c>
      <c r="E78" s="25">
        <v>2.0</v>
      </c>
      <c r="F78" s="30" t="s">
        <v>714</v>
      </c>
      <c r="G78" s="98" t="s">
        <v>164</v>
      </c>
      <c r="H78" s="89"/>
      <c r="I78" s="87">
        <v>2.0</v>
      </c>
      <c r="J78" s="89"/>
      <c r="K78" s="99"/>
      <c r="L78" s="41" t="s">
        <v>129</v>
      </c>
      <c r="M78" s="42"/>
      <c r="N78" s="19"/>
      <c r="O78" s="17"/>
      <c r="P78" s="20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ht="41.25" customHeight="1">
      <c r="A79" s="24" t="s">
        <v>385</v>
      </c>
      <c r="B79" s="25"/>
      <c r="C79" s="25">
        <v>143.0</v>
      </c>
      <c r="D79" s="25">
        <v>8.0</v>
      </c>
      <c r="E79" s="25">
        <v>1.0</v>
      </c>
      <c r="F79" s="30" t="s">
        <v>723</v>
      </c>
      <c r="G79" s="98" t="s">
        <v>726</v>
      </c>
      <c r="H79" s="87">
        <v>1.0</v>
      </c>
      <c r="I79" s="87">
        <v>2.0</v>
      </c>
      <c r="J79" s="89"/>
      <c r="K79" s="41">
        <f t="shared" ref="K79:K80" si="10">H79-J79</f>
        <v>1</v>
      </c>
      <c r="L79" s="41" t="s">
        <v>129</v>
      </c>
      <c r="M79" s="42"/>
      <c r="N79" s="17"/>
      <c r="O79" s="17"/>
      <c r="P79" s="20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ht="41.25" customHeight="1">
      <c r="A80" s="24" t="s">
        <v>394</v>
      </c>
      <c r="B80" s="25"/>
      <c r="C80" s="25">
        <v>144.0</v>
      </c>
      <c r="D80" s="25">
        <v>4.0</v>
      </c>
      <c r="E80" s="25">
        <v>3.0</v>
      </c>
      <c r="F80" s="30" t="s">
        <v>740</v>
      </c>
      <c r="G80" s="34" t="s">
        <v>49</v>
      </c>
      <c r="H80" s="87">
        <v>1.0</v>
      </c>
      <c r="I80" s="87">
        <v>1.0</v>
      </c>
      <c r="J80" s="89"/>
      <c r="K80" s="41">
        <f t="shared" si="10"/>
        <v>1</v>
      </c>
      <c r="L80" s="41" t="s">
        <v>129</v>
      </c>
      <c r="M80" s="42"/>
      <c r="N80" s="17"/>
      <c r="O80" s="17"/>
      <c r="P80" s="20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ht="41.25" customHeight="1">
      <c r="A81" s="24" t="s">
        <v>751</v>
      </c>
      <c r="B81" s="25"/>
      <c r="C81" s="25">
        <v>145.0</v>
      </c>
      <c r="D81" s="25">
        <v>6.0</v>
      </c>
      <c r="E81" s="25">
        <v>1.0</v>
      </c>
      <c r="F81" s="30" t="s">
        <v>764</v>
      </c>
      <c r="G81" s="53" t="s">
        <v>48</v>
      </c>
      <c r="H81" s="89"/>
      <c r="I81" s="87">
        <v>1.0</v>
      </c>
      <c r="J81" s="87">
        <v>2.0</v>
      </c>
      <c r="K81" s="41"/>
      <c r="L81" s="41" t="s">
        <v>129</v>
      </c>
      <c r="M81" s="42"/>
      <c r="N81" s="17"/>
      <c r="O81" s="17"/>
      <c r="P81" s="20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ht="41.25" customHeight="1">
      <c r="A82" s="88" t="s">
        <v>72</v>
      </c>
      <c r="B82" s="74"/>
      <c r="C82" s="74">
        <v>146.0</v>
      </c>
      <c r="D82" s="74">
        <v>3.0</v>
      </c>
      <c r="E82" s="74">
        <v>3.0</v>
      </c>
      <c r="F82" s="76" t="s">
        <v>777</v>
      </c>
      <c r="G82" s="77" t="s">
        <v>496</v>
      </c>
      <c r="H82" s="101"/>
      <c r="I82" s="101"/>
      <c r="J82" s="101"/>
      <c r="K82" s="80"/>
      <c r="L82" s="80" t="s">
        <v>129</v>
      </c>
      <c r="M82" s="82"/>
      <c r="N82" s="83" t="s">
        <v>146</v>
      </c>
      <c r="O82" s="84"/>
      <c r="P82" s="85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</row>
    <row r="83" ht="41.25" customHeight="1">
      <c r="A83" s="88" t="s">
        <v>91</v>
      </c>
      <c r="B83" s="74"/>
      <c r="C83" s="74">
        <v>149.0</v>
      </c>
      <c r="D83" s="74">
        <v>6.0</v>
      </c>
      <c r="E83" s="74">
        <v>6.0</v>
      </c>
      <c r="F83" s="76" t="s">
        <v>792</v>
      </c>
      <c r="G83" s="77" t="s">
        <v>496</v>
      </c>
      <c r="H83" s="101"/>
      <c r="I83" s="101"/>
      <c r="J83" s="101"/>
      <c r="K83" s="80"/>
      <c r="L83" s="80" t="s">
        <v>129</v>
      </c>
      <c r="M83" s="82"/>
      <c r="N83" s="83" t="s">
        <v>796</v>
      </c>
      <c r="O83" s="84"/>
      <c r="P83" s="85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</row>
    <row r="84" ht="41.25" customHeight="1">
      <c r="A84" s="24" t="s">
        <v>801</v>
      </c>
      <c r="B84" s="25"/>
      <c r="C84" s="25">
        <v>152.0</v>
      </c>
      <c r="D84" s="25">
        <v>7.0</v>
      </c>
      <c r="E84" s="25">
        <v>1.0</v>
      </c>
      <c r="F84" s="30" t="s">
        <v>803</v>
      </c>
      <c r="G84" s="53" t="s">
        <v>48</v>
      </c>
      <c r="H84" s="89"/>
      <c r="I84" s="89"/>
      <c r="J84" s="87">
        <v>2.0</v>
      </c>
      <c r="K84" s="41"/>
      <c r="L84" s="41" t="s">
        <v>129</v>
      </c>
      <c r="M84" s="42"/>
      <c r="N84" s="17"/>
      <c r="O84" s="17"/>
      <c r="P84" s="20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ht="41.25" customHeight="1">
      <c r="A85" s="24" t="s">
        <v>808</v>
      </c>
      <c r="B85" s="64" t="s">
        <v>167</v>
      </c>
      <c r="C85" s="25">
        <v>154.0</v>
      </c>
      <c r="D85" s="25">
        <v>7.0</v>
      </c>
      <c r="E85" s="25">
        <v>1.0</v>
      </c>
      <c r="F85" s="30" t="s">
        <v>812</v>
      </c>
      <c r="G85" s="98" t="s">
        <v>178</v>
      </c>
      <c r="H85" s="89"/>
      <c r="I85" s="87">
        <v>1.0</v>
      </c>
      <c r="J85" s="87">
        <v>1.0</v>
      </c>
      <c r="K85" s="99"/>
      <c r="L85" s="41" t="s">
        <v>129</v>
      </c>
      <c r="M85" s="42"/>
      <c r="N85" s="17"/>
      <c r="O85" s="17"/>
      <c r="P85" s="20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ht="41.25" customHeight="1">
      <c r="A86" s="59" t="s">
        <v>817</v>
      </c>
      <c r="B86" s="25"/>
      <c r="C86" s="25">
        <v>155.0</v>
      </c>
      <c r="D86" s="25">
        <v>21.0</v>
      </c>
      <c r="E86" s="25">
        <v>7.0</v>
      </c>
      <c r="F86" s="30" t="s">
        <v>820</v>
      </c>
      <c r="G86" s="98" t="s">
        <v>178</v>
      </c>
      <c r="H86" s="89"/>
      <c r="I86" s="87">
        <v>1.0</v>
      </c>
      <c r="J86" s="87">
        <v>1.0</v>
      </c>
      <c r="K86" s="99"/>
      <c r="L86" s="41" t="s">
        <v>129</v>
      </c>
      <c r="M86" s="42"/>
      <c r="N86" s="19"/>
      <c r="O86" s="17"/>
      <c r="P86" s="20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ht="41.25" customHeight="1">
      <c r="A87" s="59" t="s">
        <v>825</v>
      </c>
      <c r="B87" s="64" t="s">
        <v>167</v>
      </c>
      <c r="C87" s="25">
        <v>158.0</v>
      </c>
      <c r="D87" s="25">
        <v>14.0</v>
      </c>
      <c r="E87" s="25">
        <v>2.0</v>
      </c>
      <c r="F87" s="30" t="s">
        <v>828</v>
      </c>
      <c r="G87" s="98" t="s">
        <v>178</v>
      </c>
      <c r="H87" s="87">
        <v>1.0</v>
      </c>
      <c r="I87" s="87">
        <v>1.0</v>
      </c>
      <c r="J87" s="87">
        <v>1.0</v>
      </c>
      <c r="K87" s="99"/>
      <c r="L87" s="41" t="s">
        <v>129</v>
      </c>
      <c r="M87" s="42"/>
      <c r="N87" s="19"/>
      <c r="O87" s="17"/>
      <c r="P87" s="20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ht="41.25" customHeight="1">
      <c r="A88" s="59" t="s">
        <v>834</v>
      </c>
      <c r="B88" s="25"/>
      <c r="C88" s="25">
        <v>159.0</v>
      </c>
      <c r="D88" s="25">
        <v>8.0</v>
      </c>
      <c r="E88" s="25">
        <v>4.0</v>
      </c>
      <c r="F88" s="30" t="s">
        <v>835</v>
      </c>
      <c r="G88" s="53" t="s">
        <v>48</v>
      </c>
      <c r="H88" s="89"/>
      <c r="I88" s="87">
        <v>1.0</v>
      </c>
      <c r="J88" s="87">
        <v>1.0</v>
      </c>
      <c r="K88" s="41"/>
      <c r="L88" s="41" t="s">
        <v>129</v>
      </c>
      <c r="M88" s="42"/>
      <c r="N88" s="19"/>
      <c r="O88" s="17"/>
      <c r="P88" s="20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ht="41.25" customHeight="1">
      <c r="A89" s="24" t="s">
        <v>401</v>
      </c>
      <c r="B89" s="25"/>
      <c r="C89" s="25">
        <v>163.0</v>
      </c>
      <c r="D89" s="25">
        <v>7.0</v>
      </c>
      <c r="E89" s="25">
        <v>1.0</v>
      </c>
      <c r="F89" s="30" t="s">
        <v>841</v>
      </c>
      <c r="G89" s="103" t="s">
        <v>49</v>
      </c>
      <c r="H89" s="87">
        <v>1.0</v>
      </c>
      <c r="I89" s="87">
        <v>1.0</v>
      </c>
      <c r="J89" s="89"/>
      <c r="K89" s="41">
        <f t="shared" ref="K89:K90" si="11">H89-J89</f>
        <v>1</v>
      </c>
      <c r="L89" s="41" t="s">
        <v>129</v>
      </c>
      <c r="M89" s="42"/>
      <c r="N89" s="17"/>
      <c r="O89" s="17"/>
      <c r="P89" s="20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ht="41.25" customHeight="1">
      <c r="A90" s="24" t="s">
        <v>406</v>
      </c>
      <c r="B90" s="25"/>
      <c r="C90" s="25">
        <v>164.0</v>
      </c>
      <c r="D90" s="25">
        <v>13.0</v>
      </c>
      <c r="E90" s="25">
        <v>3.0</v>
      </c>
      <c r="F90" s="30" t="s">
        <v>857</v>
      </c>
      <c r="G90" s="103" t="s">
        <v>49</v>
      </c>
      <c r="H90" s="87">
        <v>1.0</v>
      </c>
      <c r="I90" s="87">
        <v>3.0</v>
      </c>
      <c r="J90" s="89"/>
      <c r="K90" s="41">
        <f t="shared" si="11"/>
        <v>1</v>
      </c>
      <c r="L90" s="41" t="s">
        <v>129</v>
      </c>
      <c r="M90" s="42"/>
      <c r="N90" s="17"/>
      <c r="O90" s="17"/>
      <c r="P90" s="20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ht="41.25" customHeight="1">
      <c r="A91" s="59" t="s">
        <v>864</v>
      </c>
      <c r="B91" s="25"/>
      <c r="C91" s="25">
        <v>166.0</v>
      </c>
      <c r="D91" s="25">
        <v>5.0</v>
      </c>
      <c r="E91" s="25">
        <v>1.0</v>
      </c>
      <c r="F91" s="30" t="s">
        <v>865</v>
      </c>
      <c r="G91" s="98" t="s">
        <v>178</v>
      </c>
      <c r="H91" s="89"/>
      <c r="I91" s="87">
        <v>2.0</v>
      </c>
      <c r="J91" s="87">
        <v>1.0</v>
      </c>
      <c r="K91" s="99"/>
      <c r="L91" s="41" t="s">
        <v>129</v>
      </c>
      <c r="M91" s="42"/>
      <c r="N91" s="19"/>
      <c r="O91" s="17"/>
      <c r="P91" s="20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ht="41.25" customHeight="1">
      <c r="A92" s="59" t="s">
        <v>412</v>
      </c>
      <c r="B92" s="25"/>
      <c r="C92" s="25">
        <v>167.0</v>
      </c>
      <c r="D92" s="25">
        <v>5.0</v>
      </c>
      <c r="E92" s="25">
        <v>1.0</v>
      </c>
      <c r="F92" s="30" t="s">
        <v>874</v>
      </c>
      <c r="G92" s="105" t="s">
        <v>878</v>
      </c>
      <c r="H92" s="87">
        <v>2.0</v>
      </c>
      <c r="I92" s="89"/>
      <c r="J92" s="89"/>
      <c r="K92" s="41">
        <f t="shared" ref="K92:K95" si="12">H92-J92</f>
        <v>2</v>
      </c>
      <c r="L92" s="41" t="s">
        <v>129</v>
      </c>
      <c r="M92" s="42"/>
      <c r="N92" s="17"/>
      <c r="O92" s="17"/>
      <c r="P92" s="20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ht="41.25" customHeight="1">
      <c r="A93" s="24" t="s">
        <v>416</v>
      </c>
      <c r="B93" s="25"/>
      <c r="C93" s="25">
        <v>169.0</v>
      </c>
      <c r="D93" s="25">
        <v>10.0</v>
      </c>
      <c r="E93" s="25">
        <v>2.0</v>
      </c>
      <c r="F93" s="30" t="s">
        <v>884</v>
      </c>
      <c r="G93" s="103" t="s">
        <v>49</v>
      </c>
      <c r="H93" s="87">
        <v>1.0</v>
      </c>
      <c r="I93" s="87">
        <v>1.0</v>
      </c>
      <c r="J93" s="89"/>
      <c r="K93" s="41">
        <f t="shared" si="12"/>
        <v>1</v>
      </c>
      <c r="L93" s="41" t="s">
        <v>129</v>
      </c>
      <c r="M93" s="42"/>
      <c r="N93" s="17"/>
      <c r="O93" s="17"/>
      <c r="P93" s="20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ht="41.25" customHeight="1">
      <c r="A94" s="24" t="s">
        <v>421</v>
      </c>
      <c r="B94" s="25"/>
      <c r="C94" s="25">
        <v>170.0</v>
      </c>
      <c r="D94" s="25">
        <v>17.0</v>
      </c>
      <c r="E94" s="25">
        <v>4.0</v>
      </c>
      <c r="F94" s="30" t="s">
        <v>889</v>
      </c>
      <c r="G94" s="103" t="s">
        <v>49</v>
      </c>
      <c r="H94" s="87">
        <v>1.0</v>
      </c>
      <c r="I94" s="87">
        <v>1.0</v>
      </c>
      <c r="J94" s="89"/>
      <c r="K94" s="41">
        <f t="shared" si="12"/>
        <v>1</v>
      </c>
      <c r="L94" s="41" t="s">
        <v>129</v>
      </c>
      <c r="M94" s="42"/>
      <c r="N94" s="17"/>
      <c r="O94" s="17"/>
      <c r="P94" s="20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ht="41.25" customHeight="1">
      <c r="A95" s="59" t="s">
        <v>428</v>
      </c>
      <c r="B95" s="25"/>
      <c r="C95" s="25">
        <v>172.0</v>
      </c>
      <c r="D95" s="25">
        <v>11.0</v>
      </c>
      <c r="E95" s="25">
        <v>1.0</v>
      </c>
      <c r="F95" s="30" t="s">
        <v>891</v>
      </c>
      <c r="G95" s="103" t="s">
        <v>49</v>
      </c>
      <c r="H95" s="89"/>
      <c r="I95" s="87">
        <v>3.0</v>
      </c>
      <c r="J95" s="89"/>
      <c r="K95" s="41">
        <f t="shared" si="12"/>
        <v>0</v>
      </c>
      <c r="L95" s="41" t="s">
        <v>129</v>
      </c>
      <c r="M95" s="42"/>
      <c r="N95" s="17"/>
      <c r="O95" s="17"/>
      <c r="P95" s="20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ht="41.25" customHeight="1">
      <c r="A96" s="24" t="s">
        <v>897</v>
      </c>
      <c r="B96" s="25"/>
      <c r="C96" s="25">
        <v>175.0</v>
      </c>
      <c r="D96" s="25">
        <v>6.0</v>
      </c>
      <c r="E96" s="25">
        <v>2.0</v>
      </c>
      <c r="F96" s="30" t="s">
        <v>901</v>
      </c>
      <c r="G96" s="98" t="s">
        <v>164</v>
      </c>
      <c r="H96" s="87">
        <v>2.0</v>
      </c>
      <c r="I96" s="89"/>
      <c r="J96" s="87">
        <v>1.0</v>
      </c>
      <c r="K96" s="99"/>
      <c r="L96" s="41" t="s">
        <v>129</v>
      </c>
      <c r="M96" s="42"/>
      <c r="N96" s="17"/>
      <c r="O96" s="17"/>
      <c r="P96" s="20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ht="41.25" customHeight="1">
      <c r="A97" s="24" t="s">
        <v>434</v>
      </c>
      <c r="B97" s="25"/>
      <c r="C97" s="25">
        <v>176.0</v>
      </c>
      <c r="D97" s="25">
        <v>15.0</v>
      </c>
      <c r="E97" s="25">
        <v>2.0</v>
      </c>
      <c r="F97" s="30" t="s">
        <v>908</v>
      </c>
      <c r="G97" s="103" t="s">
        <v>49</v>
      </c>
      <c r="H97" s="87">
        <v>1.0</v>
      </c>
      <c r="I97" s="87">
        <v>1.0</v>
      </c>
      <c r="J97" s="89"/>
      <c r="K97" s="41">
        <f>H97-J97</f>
        <v>1</v>
      </c>
      <c r="L97" s="41" t="s">
        <v>129</v>
      </c>
      <c r="M97" s="42"/>
      <c r="N97" s="17"/>
      <c r="O97" s="17"/>
      <c r="P97" s="20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ht="41.25" customHeight="1">
      <c r="A98" s="59" t="s">
        <v>914</v>
      </c>
      <c r="B98" s="25"/>
      <c r="C98" s="25">
        <v>181.0</v>
      </c>
      <c r="D98" s="25">
        <v>11.0</v>
      </c>
      <c r="E98" s="25">
        <v>2.0</v>
      </c>
      <c r="F98" s="30" t="s">
        <v>918</v>
      </c>
      <c r="G98" s="53" t="s">
        <v>48</v>
      </c>
      <c r="H98" s="89"/>
      <c r="I98" s="87">
        <v>1.0</v>
      </c>
      <c r="J98" s="87">
        <v>2.0</v>
      </c>
      <c r="K98" s="41"/>
      <c r="L98" s="41" t="s">
        <v>129</v>
      </c>
      <c r="M98" s="42"/>
      <c r="N98" s="17"/>
      <c r="O98" s="17"/>
      <c r="P98" s="20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ht="41.25" customHeight="1">
      <c r="A99" s="88" t="s">
        <v>922</v>
      </c>
      <c r="B99" s="74"/>
      <c r="C99" s="74">
        <v>182.0</v>
      </c>
      <c r="D99" s="74">
        <v>3.0</v>
      </c>
      <c r="E99" s="74">
        <v>4.0</v>
      </c>
      <c r="F99" s="76" t="s">
        <v>923</v>
      </c>
      <c r="G99" s="77" t="s">
        <v>496</v>
      </c>
      <c r="H99" s="101"/>
      <c r="I99" s="101"/>
      <c r="J99" s="106">
        <v>1.0</v>
      </c>
      <c r="K99" s="80"/>
      <c r="L99" s="80" t="s">
        <v>129</v>
      </c>
      <c r="M99" s="82"/>
      <c r="N99" s="83" t="s">
        <v>503</v>
      </c>
      <c r="O99" s="84"/>
      <c r="P99" s="85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</row>
    <row r="100" ht="41.25" customHeight="1">
      <c r="A100" s="24" t="s">
        <v>441</v>
      </c>
      <c r="B100" s="25"/>
      <c r="C100" s="25">
        <v>183.0</v>
      </c>
      <c r="D100" s="25">
        <v>2.0</v>
      </c>
      <c r="E100" s="25">
        <v>1.0</v>
      </c>
      <c r="F100" s="30" t="s">
        <v>933</v>
      </c>
      <c r="G100" s="103" t="s">
        <v>49</v>
      </c>
      <c r="H100" s="87">
        <v>1.0</v>
      </c>
      <c r="I100" s="87">
        <v>1.0</v>
      </c>
      <c r="J100" s="89"/>
      <c r="K100" s="41">
        <f>H100-J100</f>
        <v>1</v>
      </c>
      <c r="L100" s="41" t="s">
        <v>129</v>
      </c>
      <c r="M100" s="42"/>
      <c r="N100" s="17"/>
      <c r="O100" s="17"/>
      <c r="P100" s="20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ht="41.25" customHeight="1">
      <c r="A101" s="24" t="s">
        <v>944</v>
      </c>
      <c r="B101" s="25"/>
      <c r="C101" s="25">
        <v>188.0</v>
      </c>
      <c r="D101" s="25">
        <v>5.0</v>
      </c>
      <c r="E101" s="25">
        <v>1.0</v>
      </c>
      <c r="F101" s="30" t="s">
        <v>598</v>
      </c>
      <c r="G101" s="34" t="s">
        <v>48</v>
      </c>
      <c r="H101" s="37" t="s">
        <v>67</v>
      </c>
      <c r="I101" s="37" t="s">
        <v>67</v>
      </c>
      <c r="J101" s="37" t="s">
        <v>56</v>
      </c>
      <c r="K101" s="41"/>
      <c r="L101" s="41" t="s">
        <v>947</v>
      </c>
      <c r="M101" s="42"/>
      <c r="N101" s="17"/>
      <c r="O101" s="17"/>
      <c r="P101" s="20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ht="41.25" customHeight="1">
      <c r="A102" s="59" t="s">
        <v>447</v>
      </c>
      <c r="B102" s="25"/>
      <c r="C102" s="25">
        <v>190.0</v>
      </c>
      <c r="D102" s="25">
        <v>3.0</v>
      </c>
      <c r="E102" s="25">
        <v>2.0</v>
      </c>
      <c r="F102" s="30" t="s">
        <v>953</v>
      </c>
      <c r="G102" s="53" t="s">
        <v>49</v>
      </c>
      <c r="H102" s="107">
        <v>1.0</v>
      </c>
      <c r="I102" s="108">
        <v>1.0</v>
      </c>
      <c r="J102" s="108">
        <v>1.0</v>
      </c>
      <c r="K102" s="41"/>
      <c r="L102" s="41" t="s">
        <v>947</v>
      </c>
      <c r="M102" s="42"/>
      <c r="N102" s="17"/>
      <c r="O102" s="17"/>
      <c r="P102" s="20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ht="41.25" customHeight="1">
      <c r="A103" s="24" t="s">
        <v>453</v>
      </c>
      <c r="B103" s="64" t="s">
        <v>167</v>
      </c>
      <c r="C103" s="25">
        <v>191.0</v>
      </c>
      <c r="D103" s="25"/>
      <c r="E103" s="25"/>
      <c r="F103" s="30" t="s">
        <v>958</v>
      </c>
      <c r="G103" s="53" t="s">
        <v>49</v>
      </c>
      <c r="H103" s="108">
        <v>1.0</v>
      </c>
      <c r="I103" s="108">
        <v>2.0</v>
      </c>
      <c r="J103" s="112"/>
      <c r="K103" s="41">
        <f t="shared" ref="K103:K104" si="13">H103-J103</f>
        <v>1</v>
      </c>
      <c r="L103" s="41" t="s">
        <v>947</v>
      </c>
      <c r="M103" s="42"/>
      <c r="N103" s="17"/>
      <c r="O103" s="17"/>
      <c r="P103" s="20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ht="41.25" customHeight="1">
      <c r="A104" s="24" t="s">
        <v>457</v>
      </c>
      <c r="B104" s="25"/>
      <c r="C104" s="25">
        <v>192.0</v>
      </c>
      <c r="D104" s="25">
        <v>4.0</v>
      </c>
      <c r="E104" s="25">
        <v>1.0</v>
      </c>
      <c r="F104" s="30" t="s">
        <v>961</v>
      </c>
      <c r="G104" s="53" t="s">
        <v>49</v>
      </c>
      <c r="H104" s="108">
        <v>1.0</v>
      </c>
      <c r="I104" s="108">
        <v>1.0</v>
      </c>
      <c r="J104" s="112"/>
      <c r="K104" s="41">
        <f t="shared" si="13"/>
        <v>1</v>
      </c>
      <c r="L104" s="41" t="s">
        <v>947</v>
      </c>
      <c r="M104" s="42"/>
      <c r="N104" s="17"/>
      <c r="O104" s="17"/>
      <c r="P104" s="20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ht="41.25" customHeight="1">
      <c r="A105" s="59" t="s">
        <v>966</v>
      </c>
      <c r="B105" s="25"/>
      <c r="C105" s="25">
        <v>195.0</v>
      </c>
      <c r="D105" s="25">
        <v>3.0</v>
      </c>
      <c r="E105" s="25">
        <v>1.0</v>
      </c>
      <c r="F105" s="30" t="s">
        <v>970</v>
      </c>
      <c r="G105" s="34" t="s">
        <v>48</v>
      </c>
      <c r="H105" s="112"/>
      <c r="I105" s="108">
        <v>1.0</v>
      </c>
      <c r="J105" s="108">
        <v>1.0</v>
      </c>
      <c r="K105" s="41"/>
      <c r="L105" s="41" t="s">
        <v>947</v>
      </c>
      <c r="M105" s="42"/>
      <c r="N105" s="17"/>
      <c r="O105" s="17"/>
      <c r="P105" s="20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ht="41.25" customHeight="1">
      <c r="A106" s="73" t="s">
        <v>973</v>
      </c>
      <c r="B106" s="74"/>
      <c r="C106" s="74">
        <v>198.0</v>
      </c>
      <c r="D106" s="74">
        <v>5.0</v>
      </c>
      <c r="E106" s="74">
        <v>5.0</v>
      </c>
      <c r="F106" s="76" t="s">
        <v>977</v>
      </c>
      <c r="G106" s="77" t="s">
        <v>496</v>
      </c>
      <c r="H106" s="115">
        <v>1.0</v>
      </c>
      <c r="I106" s="116"/>
      <c r="J106" s="115">
        <v>2.0</v>
      </c>
      <c r="K106" s="80"/>
      <c r="L106" s="80" t="s">
        <v>947</v>
      </c>
      <c r="M106" s="82"/>
      <c r="N106" s="83" t="s">
        <v>982</v>
      </c>
      <c r="O106" s="84"/>
      <c r="P106" s="85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</row>
    <row r="107" ht="41.25" customHeight="1">
      <c r="A107" s="73" t="s">
        <v>987</v>
      </c>
      <c r="B107" s="74"/>
      <c r="C107" s="74">
        <v>200.0</v>
      </c>
      <c r="D107" s="74">
        <v>18.0</v>
      </c>
      <c r="E107" s="74">
        <v>10.0</v>
      </c>
      <c r="F107" s="76" t="s">
        <v>988</v>
      </c>
      <c r="G107" s="77" t="s">
        <v>496</v>
      </c>
      <c r="H107" s="116"/>
      <c r="I107" s="115">
        <v>1.0</v>
      </c>
      <c r="J107" s="115">
        <v>1.0</v>
      </c>
      <c r="K107" s="80"/>
      <c r="L107" s="80" t="s">
        <v>947</v>
      </c>
      <c r="M107" s="82"/>
      <c r="N107" s="83" t="s">
        <v>503</v>
      </c>
      <c r="O107" s="83"/>
      <c r="P107" s="85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</row>
    <row r="108" ht="41.25" customHeight="1">
      <c r="A108" s="88" t="s">
        <v>995</v>
      </c>
      <c r="B108" s="74"/>
      <c r="C108" s="74">
        <v>201.0</v>
      </c>
      <c r="D108" s="74"/>
      <c r="E108" s="74"/>
      <c r="F108" s="76" t="s">
        <v>997</v>
      </c>
      <c r="G108" s="77" t="s">
        <v>496</v>
      </c>
      <c r="H108" s="115">
        <v>1.0</v>
      </c>
      <c r="I108" s="116"/>
      <c r="J108" s="115">
        <v>2.0</v>
      </c>
      <c r="K108" s="80"/>
      <c r="L108" s="80" t="s">
        <v>947</v>
      </c>
      <c r="M108" s="82"/>
      <c r="N108" s="83" t="s">
        <v>982</v>
      </c>
      <c r="O108" s="84"/>
      <c r="P108" s="85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</row>
    <row r="109" ht="41.25" customHeight="1">
      <c r="A109" s="88" t="s">
        <v>1001</v>
      </c>
      <c r="B109" s="74"/>
      <c r="C109" s="74">
        <v>202.0</v>
      </c>
      <c r="D109" s="74"/>
      <c r="E109" s="74"/>
      <c r="F109" s="76" t="s">
        <v>1003</v>
      </c>
      <c r="G109" s="77" t="s">
        <v>496</v>
      </c>
      <c r="H109" s="116"/>
      <c r="I109" s="115">
        <v>1.0</v>
      </c>
      <c r="J109" s="115">
        <v>2.0</v>
      </c>
      <c r="K109" s="80"/>
      <c r="L109" s="80" t="s">
        <v>947</v>
      </c>
      <c r="M109" s="82"/>
      <c r="N109" s="83" t="s">
        <v>982</v>
      </c>
      <c r="O109" s="84"/>
      <c r="P109" s="85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</row>
    <row r="110" ht="41.25" customHeight="1">
      <c r="A110" s="88" t="s">
        <v>1006</v>
      </c>
      <c r="B110" s="74"/>
      <c r="C110" s="74">
        <v>204.0</v>
      </c>
      <c r="D110" s="74"/>
      <c r="E110" s="74"/>
      <c r="F110" s="76" t="s">
        <v>1003</v>
      </c>
      <c r="G110" s="77" t="s">
        <v>496</v>
      </c>
      <c r="H110" s="116"/>
      <c r="I110" s="116"/>
      <c r="J110" s="115">
        <v>2.0</v>
      </c>
      <c r="K110" s="80"/>
      <c r="L110" s="80" t="s">
        <v>947</v>
      </c>
      <c r="M110" s="82"/>
      <c r="N110" s="84"/>
      <c r="O110" s="84"/>
      <c r="P110" s="85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</row>
    <row r="111" ht="41.25" customHeight="1">
      <c r="A111" s="24" t="s">
        <v>463</v>
      </c>
      <c r="B111" s="64" t="s">
        <v>167</v>
      </c>
      <c r="C111" s="25">
        <v>206.0</v>
      </c>
      <c r="D111" s="25"/>
      <c r="E111" s="25"/>
      <c r="F111" s="30" t="s">
        <v>1013</v>
      </c>
      <c r="G111" s="53" t="s">
        <v>49</v>
      </c>
      <c r="H111" s="108">
        <v>2.0</v>
      </c>
      <c r="I111" s="108">
        <v>1.0</v>
      </c>
      <c r="J111" s="112"/>
      <c r="K111" s="41">
        <f>H111-J111</f>
        <v>2</v>
      </c>
      <c r="L111" s="41" t="s">
        <v>947</v>
      </c>
      <c r="M111" s="42"/>
      <c r="N111" s="17"/>
      <c r="O111" s="17"/>
      <c r="P111" s="20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ht="41.25" customHeight="1">
      <c r="A112" s="73" t="s">
        <v>1021</v>
      </c>
      <c r="B112" s="74"/>
      <c r="C112" s="74">
        <v>207.0</v>
      </c>
      <c r="D112" s="74">
        <v>4.0</v>
      </c>
      <c r="E112" s="74">
        <v>1.0</v>
      </c>
      <c r="F112" s="76" t="s">
        <v>1022</v>
      </c>
      <c r="G112" s="77" t="s">
        <v>1023</v>
      </c>
      <c r="H112" s="116"/>
      <c r="I112" s="116"/>
      <c r="J112" s="115">
        <v>2.0</v>
      </c>
      <c r="K112" s="80"/>
      <c r="L112" s="80" t="s">
        <v>947</v>
      </c>
      <c r="M112" s="82"/>
      <c r="N112" s="84"/>
      <c r="O112" s="83" t="s">
        <v>1025</v>
      </c>
      <c r="P112" s="85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</row>
    <row r="113" ht="41.25" customHeight="1">
      <c r="A113" s="88" t="s">
        <v>1026</v>
      </c>
      <c r="B113" s="74"/>
      <c r="C113" s="74">
        <v>208.0</v>
      </c>
      <c r="D113" s="74">
        <v>22.0</v>
      </c>
      <c r="E113" s="74">
        <v>9.0</v>
      </c>
      <c r="F113" s="76" t="s">
        <v>1027</v>
      </c>
      <c r="G113" s="77" t="s">
        <v>496</v>
      </c>
      <c r="H113" s="116"/>
      <c r="I113" s="115">
        <v>1.0</v>
      </c>
      <c r="J113" s="115">
        <v>1.0</v>
      </c>
      <c r="K113" s="80"/>
      <c r="L113" s="80" t="s">
        <v>947</v>
      </c>
      <c r="M113" s="82"/>
      <c r="N113" s="83" t="s">
        <v>982</v>
      </c>
      <c r="O113" s="83" t="s">
        <v>1025</v>
      </c>
      <c r="P113" s="85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</row>
    <row r="114" ht="41.25" customHeight="1">
      <c r="A114" s="59" t="s">
        <v>902</v>
      </c>
      <c r="B114" s="25"/>
      <c r="C114" s="25">
        <v>210.0</v>
      </c>
      <c r="D114" s="25">
        <v>7.0</v>
      </c>
      <c r="E114" s="25">
        <v>1.0</v>
      </c>
      <c r="F114" s="30" t="s">
        <v>1032</v>
      </c>
      <c r="G114" s="98" t="s">
        <v>178</v>
      </c>
      <c r="H114" s="112"/>
      <c r="I114" s="108">
        <v>2.0</v>
      </c>
      <c r="J114" s="108">
        <v>1.0</v>
      </c>
      <c r="K114" s="99"/>
      <c r="L114" s="41" t="s">
        <v>947</v>
      </c>
      <c r="M114" s="42"/>
      <c r="N114" s="17"/>
      <c r="O114" s="17"/>
      <c r="P114" s="20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ht="41.25" customHeight="1">
      <c r="A115" s="24" t="s">
        <v>467</v>
      </c>
      <c r="B115" s="25"/>
      <c r="C115" s="25">
        <v>213.0</v>
      </c>
      <c r="D115" s="25">
        <v>29.0</v>
      </c>
      <c r="E115" s="25">
        <v>24.0</v>
      </c>
      <c r="F115" s="30" t="s">
        <v>1036</v>
      </c>
      <c r="G115" s="34" t="s">
        <v>49</v>
      </c>
      <c r="H115" s="108">
        <v>2.0</v>
      </c>
      <c r="I115" s="112"/>
      <c r="J115" s="108">
        <v>1.0</v>
      </c>
      <c r="K115" s="41">
        <f>H115-J115</f>
        <v>1</v>
      </c>
      <c r="L115" s="41" t="s">
        <v>947</v>
      </c>
      <c r="M115" s="42"/>
      <c r="N115" s="17"/>
      <c r="O115" s="17"/>
      <c r="P115" s="20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ht="41.25" customHeight="1">
      <c r="A116" s="59" t="s">
        <v>907</v>
      </c>
      <c r="B116" s="25"/>
      <c r="C116" s="25">
        <v>214.0</v>
      </c>
      <c r="D116" s="25">
        <v>8.0</v>
      </c>
      <c r="E116" s="25">
        <v>3.0</v>
      </c>
      <c r="F116" s="30" t="s">
        <v>1036</v>
      </c>
      <c r="G116" s="98" t="s">
        <v>178</v>
      </c>
      <c r="H116" s="112"/>
      <c r="I116" s="108">
        <v>2.0</v>
      </c>
      <c r="J116" s="108">
        <v>1.0</v>
      </c>
      <c r="K116" s="99"/>
      <c r="L116" s="41" t="s">
        <v>947</v>
      </c>
      <c r="M116" s="42"/>
      <c r="N116" s="17"/>
      <c r="O116" s="17"/>
      <c r="P116" s="20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ht="41.25" customHeight="1">
      <c r="A117" s="59" t="s">
        <v>473</v>
      </c>
      <c r="B117" s="25"/>
      <c r="C117" s="25">
        <v>215.0</v>
      </c>
      <c r="D117" s="25">
        <v>31.0</v>
      </c>
      <c r="E117" s="25">
        <v>12.0</v>
      </c>
      <c r="F117" s="30" t="s">
        <v>1036</v>
      </c>
      <c r="G117" s="53" t="s">
        <v>49</v>
      </c>
      <c r="H117" s="112"/>
      <c r="I117" s="108">
        <v>1.0</v>
      </c>
      <c r="J117" s="108">
        <v>1.0</v>
      </c>
      <c r="K117" s="41"/>
      <c r="L117" s="41" t="s">
        <v>947</v>
      </c>
      <c r="M117" s="42"/>
      <c r="N117" s="17"/>
      <c r="O117" s="17"/>
      <c r="P117" s="20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ht="41.25" customHeight="1">
      <c r="A118" s="24" t="s">
        <v>476</v>
      </c>
      <c r="B118" s="25"/>
      <c r="C118" s="25">
        <v>217.0</v>
      </c>
      <c r="D118" s="25">
        <v>3.0</v>
      </c>
      <c r="E118" s="25">
        <v>1.0</v>
      </c>
      <c r="F118" s="30" t="s">
        <v>1045</v>
      </c>
      <c r="G118" s="34" t="s">
        <v>49</v>
      </c>
      <c r="H118" s="108">
        <v>2.0</v>
      </c>
      <c r="I118" s="108">
        <v>1.0</v>
      </c>
      <c r="J118" s="112"/>
      <c r="K118" s="41">
        <f>H118-J118</f>
        <v>2</v>
      </c>
      <c r="L118" s="41" t="s">
        <v>947</v>
      </c>
      <c r="M118" s="42"/>
      <c r="N118" s="17"/>
      <c r="O118" s="17"/>
      <c r="P118" s="20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ht="41.25" customHeight="1">
      <c r="A119" s="73" t="s">
        <v>64</v>
      </c>
      <c r="B119" s="74"/>
      <c r="C119" s="74">
        <v>222.0</v>
      </c>
      <c r="D119" s="74">
        <v>15.0</v>
      </c>
      <c r="E119" s="74">
        <v>12.0</v>
      </c>
      <c r="F119" s="76" t="s">
        <v>1046</v>
      </c>
      <c r="G119" s="77" t="s">
        <v>496</v>
      </c>
      <c r="H119" s="116"/>
      <c r="I119" s="116"/>
      <c r="J119" s="115">
        <v>2.0</v>
      </c>
      <c r="K119" s="80"/>
      <c r="L119" s="80" t="s">
        <v>947</v>
      </c>
      <c r="M119" s="82"/>
      <c r="N119" s="83" t="s">
        <v>982</v>
      </c>
      <c r="O119" s="83" t="s">
        <v>146</v>
      </c>
      <c r="P119" s="85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</row>
    <row r="120" ht="41.25" customHeight="1">
      <c r="A120" s="88" t="s">
        <v>1047</v>
      </c>
      <c r="B120" s="74"/>
      <c r="C120" s="74">
        <v>226.0</v>
      </c>
      <c r="D120" s="74">
        <v>12.0</v>
      </c>
      <c r="E120" s="74">
        <v>11.0</v>
      </c>
      <c r="F120" s="76" t="s">
        <v>440</v>
      </c>
      <c r="G120" s="77" t="s">
        <v>496</v>
      </c>
      <c r="H120" s="116"/>
      <c r="I120" s="116"/>
      <c r="J120" s="115">
        <v>2.0</v>
      </c>
      <c r="K120" s="80"/>
      <c r="L120" s="80" t="s">
        <v>947</v>
      </c>
      <c r="M120" s="82"/>
      <c r="N120" s="83" t="s">
        <v>982</v>
      </c>
      <c r="O120" s="83" t="s">
        <v>1048</v>
      </c>
      <c r="P120" s="85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</row>
    <row r="121" ht="41.25" customHeight="1">
      <c r="A121" s="88" t="s">
        <v>1049</v>
      </c>
      <c r="B121" s="74"/>
      <c r="C121" s="74">
        <v>227.0</v>
      </c>
      <c r="D121" s="74">
        <v>29.0</v>
      </c>
      <c r="E121" s="74">
        <v>24.0</v>
      </c>
      <c r="F121" s="76" t="s">
        <v>1050</v>
      </c>
      <c r="G121" s="77" t="s">
        <v>496</v>
      </c>
      <c r="H121" s="115">
        <v>1.0</v>
      </c>
      <c r="I121" s="115">
        <v>1.0</v>
      </c>
      <c r="J121" s="116"/>
      <c r="K121" s="80">
        <f>H121-J121</f>
        <v>1</v>
      </c>
      <c r="L121" s="80" t="s">
        <v>947</v>
      </c>
      <c r="M121" s="82"/>
      <c r="N121" s="83" t="s">
        <v>982</v>
      </c>
      <c r="O121" s="83" t="s">
        <v>1025</v>
      </c>
      <c r="P121" s="85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</row>
    <row r="122" ht="41.25" customHeight="1">
      <c r="A122" s="88" t="s">
        <v>1051</v>
      </c>
      <c r="B122" s="74"/>
      <c r="C122" s="74">
        <v>229.0</v>
      </c>
      <c r="D122" s="74">
        <v>11.0</v>
      </c>
      <c r="E122" s="74">
        <v>11.0</v>
      </c>
      <c r="F122" s="76" t="s">
        <v>440</v>
      </c>
      <c r="G122" s="77" t="s">
        <v>496</v>
      </c>
      <c r="H122" s="116"/>
      <c r="I122" s="116"/>
      <c r="J122" s="115">
        <v>2.0</v>
      </c>
      <c r="K122" s="80"/>
      <c r="L122" s="80" t="s">
        <v>947</v>
      </c>
      <c r="M122" s="82"/>
      <c r="N122" s="83" t="s">
        <v>982</v>
      </c>
      <c r="O122" s="83" t="s">
        <v>1048</v>
      </c>
      <c r="P122" s="85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</row>
    <row r="123" ht="41.25" customHeight="1">
      <c r="A123" s="59" t="s">
        <v>1052</v>
      </c>
      <c r="B123" s="25"/>
      <c r="C123" s="25">
        <v>230.0</v>
      </c>
      <c r="D123" s="25">
        <v>5.0</v>
      </c>
      <c r="E123" s="25">
        <v>1.0</v>
      </c>
      <c r="F123" s="30" t="s">
        <v>1053</v>
      </c>
      <c r="G123" s="34" t="s">
        <v>48</v>
      </c>
      <c r="H123" s="112"/>
      <c r="I123" s="112"/>
      <c r="J123" s="108">
        <v>2.0</v>
      </c>
      <c r="K123" s="41"/>
      <c r="L123" s="41" t="s">
        <v>947</v>
      </c>
      <c r="M123" s="42"/>
      <c r="N123" s="17"/>
      <c r="O123" s="17"/>
      <c r="P123" s="20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ht="41.25" customHeight="1">
      <c r="A124" s="24" t="s">
        <v>1054</v>
      </c>
      <c r="B124" s="25"/>
      <c r="C124" s="25">
        <v>232.0</v>
      </c>
      <c r="D124" s="25">
        <v>11.0</v>
      </c>
      <c r="E124" s="25">
        <v>2.0</v>
      </c>
      <c r="F124" s="30" t="s">
        <v>1055</v>
      </c>
      <c r="G124" s="34" t="s">
        <v>48</v>
      </c>
      <c r="H124" s="112"/>
      <c r="I124" s="112"/>
      <c r="J124" s="108">
        <v>2.0</v>
      </c>
      <c r="K124" s="41"/>
      <c r="L124" s="41" t="s">
        <v>947</v>
      </c>
      <c r="M124" s="42"/>
      <c r="N124" s="17"/>
      <c r="O124" s="17"/>
      <c r="P124" s="20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ht="41.25" customHeight="1">
      <c r="A125" s="88" t="s">
        <v>1056</v>
      </c>
      <c r="B125" s="74"/>
      <c r="C125" s="74">
        <v>233.0</v>
      </c>
      <c r="D125" s="74">
        <v>0.0</v>
      </c>
      <c r="E125" s="74">
        <v>0.0</v>
      </c>
      <c r="F125" s="76" t="s">
        <v>1057</v>
      </c>
      <c r="G125" s="77" t="s">
        <v>496</v>
      </c>
      <c r="H125" s="116"/>
      <c r="I125" s="116"/>
      <c r="J125" s="115">
        <v>2.0</v>
      </c>
      <c r="K125" s="80"/>
      <c r="L125" s="80" t="s">
        <v>947</v>
      </c>
      <c r="M125" s="82"/>
      <c r="N125" s="83" t="s">
        <v>982</v>
      </c>
      <c r="O125" s="83"/>
      <c r="P125" s="85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</row>
    <row r="126" ht="41.25" customHeight="1">
      <c r="A126" s="73" t="s">
        <v>1058</v>
      </c>
      <c r="B126" s="74"/>
      <c r="C126" s="74">
        <v>234.0</v>
      </c>
      <c r="D126" s="74">
        <v>9.0</v>
      </c>
      <c r="E126" s="74">
        <v>4.0</v>
      </c>
      <c r="F126" s="76" t="s">
        <v>1059</v>
      </c>
      <c r="G126" s="77" t="s">
        <v>496</v>
      </c>
      <c r="H126" s="116"/>
      <c r="I126" s="115">
        <v>1.0</v>
      </c>
      <c r="J126" s="115">
        <v>1.0</v>
      </c>
      <c r="K126" s="80"/>
      <c r="L126" s="80" t="s">
        <v>947</v>
      </c>
      <c r="M126" s="82"/>
      <c r="N126" s="83" t="s">
        <v>982</v>
      </c>
      <c r="O126" s="84"/>
      <c r="P126" s="85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</row>
    <row r="127" ht="41.25" customHeight="1">
      <c r="A127" s="88" t="s">
        <v>1060</v>
      </c>
      <c r="B127" s="74"/>
      <c r="C127" s="74">
        <v>235.0</v>
      </c>
      <c r="D127" s="74">
        <v>11.0</v>
      </c>
      <c r="E127" s="74">
        <v>4.0</v>
      </c>
      <c r="F127" s="76" t="s">
        <v>1022</v>
      </c>
      <c r="G127" s="77" t="s">
        <v>496</v>
      </c>
      <c r="H127" s="115">
        <v>1.0</v>
      </c>
      <c r="I127" s="116"/>
      <c r="J127" s="115">
        <v>2.0</v>
      </c>
      <c r="K127" s="80"/>
      <c r="L127" s="80" t="s">
        <v>947</v>
      </c>
      <c r="M127" s="82"/>
      <c r="N127" s="83" t="s">
        <v>982</v>
      </c>
      <c r="O127" s="83" t="s">
        <v>1025</v>
      </c>
      <c r="P127" s="85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</row>
    <row r="128" ht="41.25" customHeight="1">
      <c r="A128" s="88" t="s">
        <v>1061</v>
      </c>
      <c r="B128" s="74"/>
      <c r="C128" s="74">
        <v>236.0</v>
      </c>
      <c r="D128" s="74">
        <v>1.0</v>
      </c>
      <c r="E128" s="74">
        <v>1.0</v>
      </c>
      <c r="F128" s="76" t="s">
        <v>1062</v>
      </c>
      <c r="G128" s="77" t="s">
        <v>496</v>
      </c>
      <c r="H128" s="115">
        <v>2.0</v>
      </c>
      <c r="I128" s="116"/>
      <c r="J128" s="116"/>
      <c r="K128" s="80">
        <f>H128-J128</f>
        <v>2</v>
      </c>
      <c r="L128" s="80" t="s">
        <v>947</v>
      </c>
      <c r="M128" s="82"/>
      <c r="N128" s="84"/>
      <c r="O128" s="83" t="s">
        <v>1048</v>
      </c>
      <c r="P128" s="85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</row>
    <row r="129" ht="41.25" customHeight="1">
      <c r="A129" s="73" t="s">
        <v>1063</v>
      </c>
      <c r="B129" s="74"/>
      <c r="C129" s="74">
        <v>237.0</v>
      </c>
      <c r="D129" s="74">
        <v>10.0</v>
      </c>
      <c r="E129" s="74">
        <v>10.0</v>
      </c>
      <c r="F129" s="76" t="s">
        <v>1064</v>
      </c>
      <c r="G129" s="77" t="s">
        <v>496</v>
      </c>
      <c r="H129" s="116"/>
      <c r="I129" s="116"/>
      <c r="J129" s="115">
        <v>2.0</v>
      </c>
      <c r="K129" s="80"/>
      <c r="L129" s="80" t="s">
        <v>947</v>
      </c>
      <c r="M129" s="82"/>
      <c r="N129" s="83" t="s">
        <v>982</v>
      </c>
      <c r="O129" s="83" t="s">
        <v>1025</v>
      </c>
      <c r="P129" s="85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</row>
    <row r="130" ht="41.25" customHeight="1">
      <c r="A130" s="73" t="s">
        <v>136</v>
      </c>
      <c r="B130" s="74"/>
      <c r="C130" s="74">
        <v>238.0</v>
      </c>
      <c r="D130" s="74">
        <v>14.0</v>
      </c>
      <c r="E130" s="74">
        <v>7.0</v>
      </c>
      <c r="F130" s="76" t="s">
        <v>1065</v>
      </c>
      <c r="G130" s="77" t="s">
        <v>496</v>
      </c>
      <c r="H130" s="115">
        <v>1.0</v>
      </c>
      <c r="I130" s="116"/>
      <c r="J130" s="115">
        <v>2.0</v>
      </c>
      <c r="K130" s="80"/>
      <c r="L130" s="80" t="s">
        <v>947</v>
      </c>
      <c r="M130" s="82"/>
      <c r="N130" s="84"/>
      <c r="O130" s="83" t="s">
        <v>1066</v>
      </c>
      <c r="P130" s="85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</row>
    <row r="131" ht="41.25" customHeight="1">
      <c r="A131" s="73" t="s">
        <v>1067</v>
      </c>
      <c r="B131" s="74"/>
      <c r="C131" s="74">
        <v>239.0</v>
      </c>
      <c r="D131" s="74">
        <v>2.0</v>
      </c>
      <c r="E131" s="74">
        <v>2.0</v>
      </c>
      <c r="F131" s="76" t="s">
        <v>1068</v>
      </c>
      <c r="G131" s="77" t="s">
        <v>1069</v>
      </c>
      <c r="H131" s="116"/>
      <c r="I131" s="115">
        <v>1.0</v>
      </c>
      <c r="J131" s="115">
        <v>1.0</v>
      </c>
      <c r="K131" s="80"/>
      <c r="L131" s="80" t="s">
        <v>947</v>
      </c>
      <c r="M131" s="82"/>
      <c r="N131" s="83" t="s">
        <v>982</v>
      </c>
      <c r="O131" s="83" t="s">
        <v>1070</v>
      </c>
      <c r="P131" s="85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</row>
    <row r="132" ht="41.25" customHeight="1">
      <c r="A132" s="59" t="s">
        <v>910</v>
      </c>
      <c r="B132" s="64" t="s">
        <v>167</v>
      </c>
      <c r="C132" s="25">
        <v>243.0</v>
      </c>
      <c r="D132" s="25">
        <v>8.0</v>
      </c>
      <c r="E132" s="25">
        <v>3.0</v>
      </c>
      <c r="F132" s="30" t="s">
        <v>1071</v>
      </c>
      <c r="G132" s="53" t="s">
        <v>1072</v>
      </c>
      <c r="H132" s="112"/>
      <c r="I132" s="112"/>
      <c r="J132" s="108">
        <v>1.0</v>
      </c>
      <c r="K132" s="41"/>
      <c r="L132" s="41" t="s">
        <v>947</v>
      </c>
      <c r="M132" s="42"/>
      <c r="N132" s="17"/>
      <c r="O132" s="17"/>
      <c r="P132" s="20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ht="41.25" customHeight="1">
      <c r="A133" s="24" t="s">
        <v>481</v>
      </c>
      <c r="B133" s="25"/>
      <c r="C133" s="25">
        <v>245.0</v>
      </c>
      <c r="D133" s="25"/>
      <c r="E133" s="25"/>
      <c r="F133" s="30" t="s">
        <v>1073</v>
      </c>
      <c r="G133" s="53" t="s">
        <v>49</v>
      </c>
      <c r="H133" s="108">
        <v>1.0</v>
      </c>
      <c r="I133" s="112"/>
      <c r="J133" s="112"/>
      <c r="K133" s="41">
        <f>H133-J133</f>
        <v>1</v>
      </c>
      <c r="L133" s="41" t="s">
        <v>947</v>
      </c>
      <c r="M133" s="42"/>
      <c r="N133" s="17"/>
      <c r="O133" s="17"/>
      <c r="P133" s="20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ht="41.25" customHeight="1">
      <c r="A134" s="24" t="s">
        <v>1074</v>
      </c>
      <c r="B134" s="25"/>
      <c r="C134" s="25">
        <v>247.0</v>
      </c>
      <c r="D134" s="25">
        <v>11.0</v>
      </c>
      <c r="E134" s="25">
        <v>3.0</v>
      </c>
      <c r="F134" s="30" t="s">
        <v>1075</v>
      </c>
      <c r="G134" s="34" t="s">
        <v>48</v>
      </c>
      <c r="H134" s="112"/>
      <c r="I134" s="112"/>
      <c r="J134" s="108">
        <v>3.0</v>
      </c>
      <c r="K134" s="41"/>
      <c r="L134" s="41" t="s">
        <v>947</v>
      </c>
      <c r="M134" s="42"/>
      <c r="N134" s="17"/>
      <c r="O134" s="17"/>
      <c r="P134" s="20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ht="41.25" customHeight="1">
      <c r="A135" s="24" t="s">
        <v>1076</v>
      </c>
      <c r="B135" s="25"/>
      <c r="C135" s="25">
        <v>248.0</v>
      </c>
      <c r="D135" s="25">
        <v>9.0</v>
      </c>
      <c r="E135" s="25">
        <v>2.0</v>
      </c>
      <c r="F135" s="30" t="s">
        <v>1077</v>
      </c>
      <c r="G135" s="34" t="s">
        <v>48</v>
      </c>
      <c r="H135" s="112"/>
      <c r="I135" s="108">
        <v>1.0</v>
      </c>
      <c r="J135" s="108">
        <v>1.0</v>
      </c>
      <c r="K135" s="41"/>
      <c r="L135" s="41" t="s">
        <v>947</v>
      </c>
      <c r="M135" s="42"/>
      <c r="N135" s="17"/>
      <c r="O135" s="17"/>
      <c r="P135" s="20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ht="41.25" customHeight="1">
      <c r="A136" s="24" t="s">
        <v>485</v>
      </c>
      <c r="B136" s="25"/>
      <c r="C136" s="25">
        <v>249.0</v>
      </c>
      <c r="D136" s="25">
        <v>4.0</v>
      </c>
      <c r="E136" s="25">
        <v>1.0</v>
      </c>
      <c r="F136" s="30" t="s">
        <v>1078</v>
      </c>
      <c r="G136" s="53" t="s">
        <v>49</v>
      </c>
      <c r="H136" s="108">
        <v>1.0</v>
      </c>
      <c r="I136" s="112"/>
      <c r="J136" s="112"/>
      <c r="K136" s="41">
        <f t="shared" ref="K136:K137" si="14">H136-J136</f>
        <v>1</v>
      </c>
      <c r="L136" s="41" t="s">
        <v>947</v>
      </c>
      <c r="M136" s="42"/>
      <c r="N136" s="17"/>
      <c r="O136" s="17"/>
      <c r="P136" s="20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ht="41.25" customHeight="1">
      <c r="A137" s="24" t="s">
        <v>491</v>
      </c>
      <c r="B137" s="25"/>
      <c r="C137" s="25">
        <v>250.0</v>
      </c>
      <c r="D137" s="25">
        <v>9.0</v>
      </c>
      <c r="E137" s="25">
        <v>3.0</v>
      </c>
      <c r="F137" s="30" t="s">
        <v>1079</v>
      </c>
      <c r="G137" s="34" t="s">
        <v>49</v>
      </c>
      <c r="H137" s="108">
        <v>3.0</v>
      </c>
      <c r="I137" s="112"/>
      <c r="J137" s="112"/>
      <c r="K137" s="41">
        <f t="shared" si="14"/>
        <v>3</v>
      </c>
      <c r="L137" s="41" t="s">
        <v>947</v>
      </c>
      <c r="M137" s="42"/>
      <c r="N137" s="17"/>
      <c r="O137" s="17"/>
      <c r="P137" s="20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ht="41.25" customHeight="1">
      <c r="A138" s="24" t="s">
        <v>1080</v>
      </c>
      <c r="B138" s="64" t="s">
        <v>167</v>
      </c>
      <c r="C138" s="25">
        <v>255.0</v>
      </c>
      <c r="D138" s="25">
        <v>9.0</v>
      </c>
      <c r="E138" s="25">
        <v>8.0</v>
      </c>
      <c r="F138" s="30" t="s">
        <v>1081</v>
      </c>
      <c r="G138" s="98" t="s">
        <v>164</v>
      </c>
      <c r="H138" s="108">
        <v>1.0</v>
      </c>
      <c r="I138" s="112"/>
      <c r="J138" s="108">
        <v>2.0</v>
      </c>
      <c r="K138" s="99"/>
      <c r="L138" s="41" t="s">
        <v>947</v>
      </c>
      <c r="M138" s="42"/>
      <c r="N138" s="19" t="s">
        <v>982</v>
      </c>
      <c r="O138" s="17"/>
      <c r="P138" s="20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ht="41.25" customHeight="1">
      <c r="A139" s="24" t="s">
        <v>1082</v>
      </c>
      <c r="B139" s="25"/>
      <c r="C139" s="25">
        <v>257.0</v>
      </c>
      <c r="D139" s="25">
        <v>9.0</v>
      </c>
      <c r="E139" s="25">
        <v>2.0</v>
      </c>
      <c r="F139" s="30" t="s">
        <v>1083</v>
      </c>
      <c r="G139" s="34" t="s">
        <v>48</v>
      </c>
      <c r="H139" s="112"/>
      <c r="I139" s="108">
        <v>1.0</v>
      </c>
      <c r="J139" s="108">
        <v>1.0</v>
      </c>
      <c r="K139" s="41"/>
      <c r="L139" s="41" t="s">
        <v>947</v>
      </c>
      <c r="M139" s="42"/>
      <c r="N139" s="17"/>
      <c r="O139" s="17"/>
      <c r="P139" s="20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ht="41.25" customHeight="1">
      <c r="A140" s="59" t="s">
        <v>912</v>
      </c>
      <c r="B140" s="25"/>
      <c r="C140" s="25">
        <v>258.0</v>
      </c>
      <c r="D140" s="25">
        <v>4.0</v>
      </c>
      <c r="E140" s="25">
        <v>1.0</v>
      </c>
      <c r="F140" s="30" t="s">
        <v>1084</v>
      </c>
      <c r="G140" s="98" t="s">
        <v>178</v>
      </c>
      <c r="H140" s="112"/>
      <c r="I140" s="108">
        <v>2.0</v>
      </c>
      <c r="J140" s="108">
        <v>1.0</v>
      </c>
      <c r="K140" s="99"/>
      <c r="L140" s="41" t="s">
        <v>947</v>
      </c>
      <c r="M140" s="42"/>
      <c r="N140" s="17"/>
      <c r="O140" s="17"/>
      <c r="P140" s="20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ht="41.25" customHeight="1">
      <c r="A141" s="24" t="s">
        <v>1085</v>
      </c>
      <c r="B141" s="25"/>
      <c r="C141" s="25">
        <v>259.0</v>
      </c>
      <c r="D141" s="25">
        <v>10.0</v>
      </c>
      <c r="E141" s="25">
        <v>2.0</v>
      </c>
      <c r="F141" s="30" t="s">
        <v>1086</v>
      </c>
      <c r="G141" s="34" t="s">
        <v>48</v>
      </c>
      <c r="H141" s="112"/>
      <c r="I141" s="112"/>
      <c r="J141" s="108">
        <v>2.0</v>
      </c>
      <c r="K141" s="41"/>
      <c r="L141" s="41" t="s">
        <v>947</v>
      </c>
      <c r="M141" s="42"/>
      <c r="N141" s="17"/>
      <c r="O141" s="17"/>
      <c r="P141" s="20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ht="41.25" customHeight="1">
      <c r="A142" s="59" t="s">
        <v>1087</v>
      </c>
      <c r="B142" s="25"/>
      <c r="C142" s="25">
        <v>261.0</v>
      </c>
      <c r="D142" s="25">
        <v>1.0</v>
      </c>
      <c r="E142" s="25">
        <v>0.0</v>
      </c>
      <c r="F142" s="30" t="s">
        <v>1088</v>
      </c>
      <c r="G142" s="34" t="s">
        <v>48</v>
      </c>
      <c r="H142" s="112"/>
      <c r="I142" s="108">
        <v>1.0</v>
      </c>
      <c r="J142" s="108">
        <v>2.0</v>
      </c>
      <c r="K142" s="41"/>
      <c r="L142" s="41" t="s">
        <v>947</v>
      </c>
      <c r="M142" s="42"/>
      <c r="N142" s="17"/>
      <c r="O142" s="17"/>
      <c r="P142" s="20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ht="41.25" customHeight="1">
      <c r="A143" s="24" t="s">
        <v>1089</v>
      </c>
      <c r="B143" s="25"/>
      <c r="C143" s="25">
        <v>262.0</v>
      </c>
      <c r="D143" s="25">
        <v>2.0</v>
      </c>
      <c r="E143" s="25">
        <v>0.0</v>
      </c>
      <c r="F143" s="30" t="s">
        <v>1088</v>
      </c>
      <c r="G143" s="34" t="s">
        <v>48</v>
      </c>
      <c r="H143" s="108">
        <v>1.0</v>
      </c>
      <c r="I143" s="112"/>
      <c r="J143" s="108">
        <v>2.0</v>
      </c>
      <c r="K143" s="41"/>
      <c r="L143" s="41" t="s">
        <v>947</v>
      </c>
      <c r="M143" s="42"/>
      <c r="N143" s="17"/>
      <c r="O143" s="17"/>
      <c r="P143" s="20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ht="41.25" customHeight="1">
      <c r="A144" s="24" t="s">
        <v>1090</v>
      </c>
      <c r="B144" s="25"/>
      <c r="C144" s="25">
        <v>263.0</v>
      </c>
      <c r="D144" s="25">
        <v>2.0</v>
      </c>
      <c r="E144" s="25">
        <v>0.0</v>
      </c>
      <c r="F144" s="30" t="s">
        <v>1088</v>
      </c>
      <c r="G144" s="34" t="s">
        <v>48</v>
      </c>
      <c r="H144" s="112"/>
      <c r="I144" s="112"/>
      <c r="J144" s="108">
        <v>2.0</v>
      </c>
      <c r="K144" s="41"/>
      <c r="L144" s="41" t="s">
        <v>947</v>
      </c>
      <c r="M144" s="42"/>
      <c r="N144" s="17"/>
      <c r="O144" s="17"/>
      <c r="P144" s="20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ht="41.25" customHeight="1">
      <c r="A145" s="59" t="s">
        <v>1091</v>
      </c>
      <c r="B145" s="25"/>
      <c r="C145" s="25">
        <v>264.0</v>
      </c>
      <c r="D145" s="25">
        <v>8.0</v>
      </c>
      <c r="E145" s="25">
        <v>3.0</v>
      </c>
      <c r="F145" s="30" t="s">
        <v>1092</v>
      </c>
      <c r="G145" s="34" t="s">
        <v>48</v>
      </c>
      <c r="H145" s="112"/>
      <c r="I145" s="108">
        <v>1.0</v>
      </c>
      <c r="J145" s="108">
        <v>1.0</v>
      </c>
      <c r="K145" s="41"/>
      <c r="L145" s="41" t="s">
        <v>947</v>
      </c>
      <c r="M145" s="42"/>
      <c r="N145" s="17"/>
      <c r="O145" s="17"/>
      <c r="P145" s="20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ht="41.25" customHeight="1">
      <c r="A146" s="24" t="s">
        <v>498</v>
      </c>
      <c r="B146" s="25"/>
      <c r="C146" s="25">
        <v>265.0</v>
      </c>
      <c r="D146" s="25">
        <v>2.0</v>
      </c>
      <c r="E146" s="25">
        <v>0.0</v>
      </c>
      <c r="F146" s="30" t="s">
        <v>1093</v>
      </c>
      <c r="G146" s="53" t="s">
        <v>49</v>
      </c>
      <c r="H146" s="108">
        <v>1.0</v>
      </c>
      <c r="I146" s="108">
        <v>3.0</v>
      </c>
      <c r="J146" s="112"/>
      <c r="K146" s="41">
        <f>H146-J146</f>
        <v>1</v>
      </c>
      <c r="L146" s="41" t="s">
        <v>947</v>
      </c>
      <c r="M146" s="42"/>
      <c r="N146" s="17"/>
      <c r="O146" s="17"/>
      <c r="P146" s="20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ht="41.25" customHeight="1">
      <c r="A147" s="88" t="s">
        <v>1094</v>
      </c>
      <c r="B147" s="74"/>
      <c r="C147" s="74">
        <v>266.0</v>
      </c>
      <c r="D147" s="74">
        <v>7.0</v>
      </c>
      <c r="E147" s="74">
        <v>7.0</v>
      </c>
      <c r="F147" s="76" t="s">
        <v>1095</v>
      </c>
      <c r="G147" s="77" t="s">
        <v>496</v>
      </c>
      <c r="H147" s="116"/>
      <c r="I147" s="115">
        <v>1.0</v>
      </c>
      <c r="J147" s="115">
        <v>1.0</v>
      </c>
      <c r="K147" s="80"/>
      <c r="L147" s="80" t="s">
        <v>947</v>
      </c>
      <c r="M147" s="82"/>
      <c r="N147" s="84"/>
      <c r="O147" s="83" t="s">
        <v>1070</v>
      </c>
      <c r="P147" s="85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</row>
    <row r="148" ht="41.25" customHeight="1">
      <c r="A148" s="73" t="s">
        <v>504</v>
      </c>
      <c r="B148" s="74"/>
      <c r="C148" s="74">
        <v>267.0</v>
      </c>
      <c r="D148" s="74">
        <v>0.0</v>
      </c>
      <c r="E148" s="74">
        <v>0.0</v>
      </c>
      <c r="F148" s="76" t="s">
        <v>1095</v>
      </c>
      <c r="G148" s="77" t="s">
        <v>496</v>
      </c>
      <c r="H148" s="116"/>
      <c r="I148" s="116"/>
      <c r="J148" s="115">
        <v>2.0</v>
      </c>
      <c r="K148" s="80"/>
      <c r="L148" s="80" t="s">
        <v>947</v>
      </c>
      <c r="M148" s="82"/>
      <c r="N148" s="83" t="s">
        <v>982</v>
      </c>
      <c r="O148" s="83" t="s">
        <v>1070</v>
      </c>
      <c r="P148" s="85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</row>
    <row r="149" ht="41.25" customHeight="1">
      <c r="A149" s="88" t="s">
        <v>46</v>
      </c>
      <c r="B149" s="74"/>
      <c r="C149" s="74">
        <v>268.0</v>
      </c>
      <c r="D149" s="74">
        <v>5.0</v>
      </c>
      <c r="E149" s="74">
        <v>5.0</v>
      </c>
      <c r="F149" s="76" t="s">
        <v>1095</v>
      </c>
      <c r="G149" s="77" t="s">
        <v>496</v>
      </c>
      <c r="H149" s="116"/>
      <c r="I149" s="116"/>
      <c r="J149" s="115">
        <v>2.0</v>
      </c>
      <c r="K149" s="80"/>
      <c r="L149" s="80" t="s">
        <v>947</v>
      </c>
      <c r="M149" s="82"/>
      <c r="N149" s="84"/>
      <c r="O149" s="83" t="s">
        <v>1070</v>
      </c>
      <c r="P149" s="85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</row>
    <row r="150" ht="41.25" customHeight="1">
      <c r="A150" s="24" t="s">
        <v>511</v>
      </c>
      <c r="B150" s="25"/>
      <c r="C150" s="25">
        <v>270.0</v>
      </c>
      <c r="D150" s="25">
        <v>2.0</v>
      </c>
      <c r="E150" s="25">
        <v>1.0</v>
      </c>
      <c r="F150" s="30" t="s">
        <v>1096</v>
      </c>
      <c r="G150" s="53" t="s">
        <v>49</v>
      </c>
      <c r="H150" s="108">
        <v>2.0</v>
      </c>
      <c r="I150" s="112"/>
      <c r="J150" s="108">
        <v>1.0</v>
      </c>
      <c r="K150" s="41">
        <f t="shared" ref="K150:K153" si="15">H150-J150</f>
        <v>1</v>
      </c>
      <c r="L150" s="41" t="s">
        <v>947</v>
      </c>
      <c r="M150" s="42"/>
      <c r="N150" s="17"/>
      <c r="O150" s="17"/>
      <c r="P150" s="20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ht="41.25" customHeight="1">
      <c r="A151" s="24" t="s">
        <v>521</v>
      </c>
      <c r="B151" s="25"/>
      <c r="C151" s="25">
        <v>271.0</v>
      </c>
      <c r="D151" s="25">
        <v>5.0</v>
      </c>
      <c r="E151" s="25">
        <v>2.0</v>
      </c>
      <c r="F151" s="30" t="s">
        <v>1097</v>
      </c>
      <c r="G151" s="34" t="s">
        <v>49</v>
      </c>
      <c r="H151" s="37" t="s">
        <v>56</v>
      </c>
      <c r="I151" s="37" t="s">
        <v>162</v>
      </c>
      <c r="J151" s="37" t="s">
        <v>67</v>
      </c>
      <c r="K151" s="41">
        <f t="shared" si="15"/>
        <v>2</v>
      </c>
      <c r="L151" s="41" t="s">
        <v>1098</v>
      </c>
      <c r="M151" s="42"/>
      <c r="N151" s="19"/>
      <c r="O151" s="17" t="s">
        <v>1099</v>
      </c>
      <c r="P151" s="20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ht="41.25" customHeight="1">
      <c r="A152" s="24" t="s">
        <v>919</v>
      </c>
      <c r="B152" s="25"/>
      <c r="C152" s="25">
        <v>272.0</v>
      </c>
      <c r="D152" s="25">
        <v>4.0</v>
      </c>
      <c r="E152" s="25">
        <v>1.0</v>
      </c>
      <c r="F152" s="30" t="s">
        <v>1100</v>
      </c>
      <c r="G152" s="98" t="s">
        <v>178</v>
      </c>
      <c r="H152" s="37" t="s">
        <v>67</v>
      </c>
      <c r="I152" s="37" t="s">
        <v>162</v>
      </c>
      <c r="J152" s="37" t="s">
        <v>162</v>
      </c>
      <c r="K152" s="99">
        <f t="shared" si="15"/>
        <v>-1</v>
      </c>
      <c r="L152" s="41" t="s">
        <v>1098</v>
      </c>
      <c r="M152" s="42"/>
      <c r="N152" s="19"/>
      <c r="O152" s="17" t="s">
        <v>1099</v>
      </c>
      <c r="P152" s="20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ht="41.25" customHeight="1">
      <c r="A153" s="24" t="s">
        <v>527</v>
      </c>
      <c r="B153" s="25"/>
      <c r="C153" s="25">
        <v>273.0</v>
      </c>
      <c r="D153" s="25">
        <v>6.0</v>
      </c>
      <c r="E153" s="25">
        <v>1.0</v>
      </c>
      <c r="F153" s="30" t="s">
        <v>1101</v>
      </c>
      <c r="G153" s="34" t="s">
        <v>49</v>
      </c>
      <c r="H153" s="92">
        <v>2.0</v>
      </c>
      <c r="I153" s="37" t="s">
        <v>67</v>
      </c>
      <c r="J153" s="92">
        <v>1.0</v>
      </c>
      <c r="K153" s="41">
        <f t="shared" si="15"/>
        <v>1</v>
      </c>
      <c r="L153" s="41" t="s">
        <v>1098</v>
      </c>
      <c r="M153" s="42"/>
      <c r="N153" s="19"/>
      <c r="O153" s="17" t="s">
        <v>1099</v>
      </c>
      <c r="P153" s="20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ht="41.25" customHeight="1">
      <c r="A154" s="121" t="s">
        <v>533</v>
      </c>
      <c r="B154" s="122"/>
      <c r="C154" s="122">
        <v>274.0</v>
      </c>
      <c r="D154" s="122">
        <v>11.0</v>
      </c>
      <c r="E154" s="122">
        <v>3.0</v>
      </c>
      <c r="F154" s="123" t="s">
        <v>1102</v>
      </c>
      <c r="G154" s="124" t="s">
        <v>49</v>
      </c>
      <c r="H154" s="125">
        <v>1.0</v>
      </c>
      <c r="I154" s="126" t="s">
        <v>67</v>
      </c>
      <c r="J154" s="125">
        <v>2.0</v>
      </c>
      <c r="K154" s="127"/>
      <c r="L154" s="127" t="s">
        <v>1098</v>
      </c>
      <c r="M154" s="128"/>
      <c r="N154" s="129"/>
      <c r="O154" s="130" t="s">
        <v>1099</v>
      </c>
      <c r="P154" s="131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</row>
    <row r="155" ht="41.25" customHeight="1">
      <c r="A155" s="24" t="s">
        <v>1103</v>
      </c>
      <c r="B155" s="25"/>
      <c r="C155" s="25">
        <v>277.0</v>
      </c>
      <c r="D155" s="25">
        <v>5.0</v>
      </c>
      <c r="E155" s="25">
        <v>2.0</v>
      </c>
      <c r="F155" s="30" t="s">
        <v>1104</v>
      </c>
      <c r="G155" s="34" t="s">
        <v>48</v>
      </c>
      <c r="H155" s="37" t="s">
        <v>67</v>
      </c>
      <c r="I155" s="37" t="s">
        <v>67</v>
      </c>
      <c r="J155" s="92">
        <v>2.0</v>
      </c>
      <c r="K155" s="41"/>
      <c r="L155" s="41" t="s">
        <v>1098</v>
      </c>
      <c r="M155" s="42"/>
      <c r="N155" s="19"/>
      <c r="O155" s="17" t="s">
        <v>1099</v>
      </c>
      <c r="P155" s="20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ht="41.25" customHeight="1">
      <c r="A156" s="24" t="s">
        <v>538</v>
      </c>
      <c r="B156" s="25"/>
      <c r="C156" s="25">
        <v>278.0</v>
      </c>
      <c r="D156" s="25">
        <v>8.0</v>
      </c>
      <c r="E156" s="25">
        <v>1.0</v>
      </c>
      <c r="F156" s="30" t="s">
        <v>1105</v>
      </c>
      <c r="G156" s="34" t="s">
        <v>49</v>
      </c>
      <c r="H156" s="92">
        <v>2.0</v>
      </c>
      <c r="I156" s="37" t="s">
        <v>67</v>
      </c>
      <c r="J156" s="37" t="s">
        <v>67</v>
      </c>
      <c r="K156" s="41">
        <f t="shared" ref="K156:K159" si="16">H156-J156</f>
        <v>2</v>
      </c>
      <c r="L156" s="41" t="s">
        <v>1098</v>
      </c>
      <c r="M156" s="42"/>
      <c r="N156" s="19"/>
      <c r="O156" s="17" t="s">
        <v>1099</v>
      </c>
      <c r="P156" s="20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ht="41.25" customHeight="1">
      <c r="A157" s="24" t="s">
        <v>924</v>
      </c>
      <c r="B157" s="25"/>
      <c r="C157" s="25">
        <v>280.0</v>
      </c>
      <c r="D157" s="25">
        <v>12.0</v>
      </c>
      <c r="E157" s="25">
        <v>3.0</v>
      </c>
      <c r="F157" s="30" t="s">
        <v>1106</v>
      </c>
      <c r="G157" s="98" t="s">
        <v>178</v>
      </c>
      <c r="H157" s="37" t="s">
        <v>162</v>
      </c>
      <c r="I157" s="37" t="s">
        <v>67</v>
      </c>
      <c r="J157" s="92">
        <v>1.0</v>
      </c>
      <c r="K157" s="99">
        <f t="shared" si="16"/>
        <v>0</v>
      </c>
      <c r="L157" s="41" t="s">
        <v>1098</v>
      </c>
      <c r="M157" s="42"/>
      <c r="N157" s="19"/>
      <c r="O157" s="17" t="s">
        <v>1099</v>
      </c>
      <c r="P157" s="20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ht="41.25" customHeight="1">
      <c r="A158" s="24" t="s">
        <v>554</v>
      </c>
      <c r="B158" s="25"/>
      <c r="C158" s="25">
        <v>281.0</v>
      </c>
      <c r="D158" s="25">
        <v>9.0</v>
      </c>
      <c r="E158" s="25">
        <v>1.0</v>
      </c>
      <c r="F158" s="30" t="s">
        <v>1107</v>
      </c>
      <c r="G158" s="34" t="s">
        <v>49</v>
      </c>
      <c r="H158" s="37" t="s">
        <v>162</v>
      </c>
      <c r="I158" s="37" t="s">
        <v>162</v>
      </c>
      <c r="J158" s="37" t="s">
        <v>67</v>
      </c>
      <c r="K158" s="41">
        <f t="shared" si="16"/>
        <v>1</v>
      </c>
      <c r="L158" s="41" t="s">
        <v>1098</v>
      </c>
      <c r="M158" s="42"/>
      <c r="N158" s="19"/>
      <c r="O158" s="17" t="s">
        <v>1099</v>
      </c>
      <c r="P158" s="20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ht="41.25" customHeight="1">
      <c r="A159" s="24" t="s">
        <v>560</v>
      </c>
      <c r="B159" s="25"/>
      <c r="C159" s="25">
        <v>284.0</v>
      </c>
      <c r="D159" s="25">
        <v>4.0</v>
      </c>
      <c r="E159" s="25">
        <v>1.0</v>
      </c>
      <c r="F159" s="30" t="s">
        <v>1108</v>
      </c>
      <c r="G159" s="34" t="s">
        <v>49</v>
      </c>
      <c r="H159" s="37" t="s">
        <v>162</v>
      </c>
      <c r="I159" s="92">
        <v>1.0</v>
      </c>
      <c r="J159" s="37" t="s">
        <v>67</v>
      </c>
      <c r="K159" s="41">
        <f t="shared" si="16"/>
        <v>1</v>
      </c>
      <c r="L159" s="41" t="s">
        <v>1098</v>
      </c>
      <c r="M159" s="42"/>
      <c r="N159" s="19"/>
      <c r="O159" s="17" t="s">
        <v>1099</v>
      </c>
      <c r="P159" s="20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ht="41.25" customHeight="1">
      <c r="A160" s="24" t="s">
        <v>1109</v>
      </c>
      <c r="B160" s="25"/>
      <c r="C160" s="25">
        <v>285.0</v>
      </c>
      <c r="D160" s="25">
        <v>7.0</v>
      </c>
      <c r="E160" s="25">
        <v>2.0</v>
      </c>
      <c r="F160" s="30" t="s">
        <v>1110</v>
      </c>
      <c r="G160" s="34" t="s">
        <v>48</v>
      </c>
      <c r="H160" s="37" t="s">
        <v>67</v>
      </c>
      <c r="I160" s="37" t="s">
        <v>67</v>
      </c>
      <c r="J160" s="37" t="s">
        <v>56</v>
      </c>
      <c r="K160" s="41"/>
      <c r="L160" s="41" t="s">
        <v>1098</v>
      </c>
      <c r="M160" s="42"/>
      <c r="N160" s="19"/>
      <c r="O160" s="17" t="s">
        <v>1099</v>
      </c>
      <c r="P160" s="20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ht="41.25" customHeight="1">
      <c r="A161" s="24" t="s">
        <v>1111</v>
      </c>
      <c r="B161" s="25"/>
      <c r="C161" s="25">
        <v>286.0</v>
      </c>
      <c r="D161" s="25">
        <v>1.0</v>
      </c>
      <c r="E161" s="25">
        <v>1.0</v>
      </c>
      <c r="F161" s="30" t="s">
        <v>1112</v>
      </c>
      <c r="G161" s="34" t="s">
        <v>48</v>
      </c>
      <c r="H161" s="37" t="s">
        <v>67</v>
      </c>
      <c r="I161" s="37" t="s">
        <v>67</v>
      </c>
      <c r="J161" s="92">
        <v>2.0</v>
      </c>
      <c r="K161" s="41"/>
      <c r="L161" s="41" t="s">
        <v>1098</v>
      </c>
      <c r="M161" s="42"/>
      <c r="N161" s="19"/>
      <c r="O161" s="17" t="s">
        <v>1099</v>
      </c>
      <c r="P161" s="20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ht="41.25" customHeight="1">
      <c r="A162" s="24" t="s">
        <v>567</v>
      </c>
      <c r="B162" s="64" t="s">
        <v>167</v>
      </c>
      <c r="C162" s="25">
        <v>290.0</v>
      </c>
      <c r="D162" s="25">
        <v>9.0</v>
      </c>
      <c r="E162" s="25">
        <v>3.0</v>
      </c>
      <c r="F162" s="30" t="s">
        <v>1113</v>
      </c>
      <c r="G162" s="34" t="s">
        <v>49</v>
      </c>
      <c r="H162" s="92">
        <v>1.0</v>
      </c>
      <c r="I162" s="92">
        <v>1.0</v>
      </c>
      <c r="J162" s="37" t="s">
        <v>67</v>
      </c>
      <c r="K162" s="41">
        <f>H162-J162</f>
        <v>1</v>
      </c>
      <c r="L162" s="41" t="s">
        <v>1098</v>
      </c>
      <c r="M162" s="42"/>
      <c r="N162" s="19"/>
      <c r="O162" s="17" t="s">
        <v>1099</v>
      </c>
      <c r="P162" s="20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ht="41.25" customHeight="1">
      <c r="A163" s="59" t="s">
        <v>1114</v>
      </c>
      <c r="B163" s="25"/>
      <c r="C163" s="25">
        <v>291.0</v>
      </c>
      <c r="D163" s="25">
        <v>4.0</v>
      </c>
      <c r="E163" s="25">
        <v>1.0</v>
      </c>
      <c r="F163" s="30" t="s">
        <v>1115</v>
      </c>
      <c r="G163" s="34" t="s">
        <v>48</v>
      </c>
      <c r="H163" s="37" t="s">
        <v>67</v>
      </c>
      <c r="I163" s="37" t="s">
        <v>162</v>
      </c>
      <c r="J163" s="92">
        <v>1.0</v>
      </c>
      <c r="K163" s="41"/>
      <c r="L163" s="41" t="s">
        <v>1098</v>
      </c>
      <c r="M163" s="42"/>
      <c r="N163" s="19"/>
      <c r="O163" s="17" t="s">
        <v>1099</v>
      </c>
      <c r="P163" s="20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ht="41.25" customHeight="1">
      <c r="A164" s="59" t="s">
        <v>1116</v>
      </c>
      <c r="B164" s="64"/>
      <c r="C164" s="64">
        <v>292.0</v>
      </c>
      <c r="D164" s="25">
        <v>3.0</v>
      </c>
      <c r="E164" s="25">
        <v>1.0</v>
      </c>
      <c r="F164" s="30" t="s">
        <v>1115</v>
      </c>
      <c r="G164" s="34" t="s">
        <v>48</v>
      </c>
      <c r="H164" s="37" t="s">
        <v>67</v>
      </c>
      <c r="I164" s="37" t="s">
        <v>67</v>
      </c>
      <c r="J164" s="37" t="s">
        <v>56</v>
      </c>
      <c r="K164" s="41"/>
      <c r="L164" s="41" t="s">
        <v>1098</v>
      </c>
      <c r="M164" s="42"/>
      <c r="N164" s="19"/>
      <c r="O164" s="17" t="s">
        <v>1099</v>
      </c>
      <c r="P164" s="20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ht="41.25" customHeight="1">
      <c r="A165" s="59" t="s">
        <v>1117</v>
      </c>
      <c r="B165" s="25"/>
      <c r="C165" s="25">
        <v>293.0</v>
      </c>
      <c r="D165" s="25">
        <v>20.0</v>
      </c>
      <c r="E165" s="25">
        <v>12.0</v>
      </c>
      <c r="F165" s="30" t="s">
        <v>1115</v>
      </c>
      <c r="G165" s="34" t="s">
        <v>48</v>
      </c>
      <c r="H165" s="37" t="s">
        <v>67</v>
      </c>
      <c r="I165" s="37" t="s">
        <v>67</v>
      </c>
      <c r="J165" s="92">
        <v>2.0</v>
      </c>
      <c r="K165" s="41"/>
      <c r="L165" s="41" t="s">
        <v>1098</v>
      </c>
      <c r="M165" s="42"/>
      <c r="N165" s="19"/>
      <c r="O165" s="17" t="s">
        <v>1099</v>
      </c>
      <c r="P165" s="20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ht="41.25" customHeight="1">
      <c r="A166" s="24" t="s">
        <v>574</v>
      </c>
      <c r="B166" s="25"/>
      <c r="C166" s="25">
        <v>294.0</v>
      </c>
      <c r="D166" s="25">
        <v>6.0</v>
      </c>
      <c r="E166" s="25">
        <v>2.0</v>
      </c>
      <c r="F166" s="30" t="s">
        <v>1118</v>
      </c>
      <c r="G166" s="34" t="s">
        <v>49</v>
      </c>
      <c r="H166" s="37" t="s">
        <v>56</v>
      </c>
      <c r="I166" s="37" t="s">
        <v>162</v>
      </c>
      <c r="J166" s="37" t="s">
        <v>67</v>
      </c>
      <c r="K166" s="41">
        <f>H166-J166</f>
        <v>2</v>
      </c>
      <c r="L166" s="41" t="s">
        <v>1098</v>
      </c>
      <c r="M166" s="42"/>
      <c r="N166" s="19"/>
      <c r="O166" s="17" t="s">
        <v>1099</v>
      </c>
      <c r="P166" s="20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ht="41.25" customHeight="1">
      <c r="A167" s="59" t="s">
        <v>1119</v>
      </c>
      <c r="B167" s="25"/>
      <c r="C167" s="25">
        <v>295.0</v>
      </c>
      <c r="D167" s="65">
        <v>47.0</v>
      </c>
      <c r="E167" s="65">
        <v>45.0</v>
      </c>
      <c r="F167" s="30" t="s">
        <v>1120</v>
      </c>
      <c r="G167" s="53" t="s">
        <v>161</v>
      </c>
      <c r="H167" s="37" t="s">
        <v>67</v>
      </c>
      <c r="I167" s="37" t="s">
        <v>67</v>
      </c>
      <c r="J167" s="37" t="s">
        <v>162</v>
      </c>
      <c r="K167" s="41"/>
      <c r="L167" s="41" t="s">
        <v>1098</v>
      </c>
      <c r="M167" s="42"/>
      <c r="N167" s="19"/>
      <c r="O167" s="17" t="s">
        <v>1099</v>
      </c>
      <c r="P167" s="20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ht="41.25" customHeight="1">
      <c r="A168" s="59" t="s">
        <v>1121</v>
      </c>
      <c r="B168" s="25"/>
      <c r="C168" s="25">
        <v>296.0</v>
      </c>
      <c r="D168" s="25">
        <v>4.0</v>
      </c>
      <c r="E168" s="25">
        <v>2.0</v>
      </c>
      <c r="F168" s="30" t="s">
        <v>1122</v>
      </c>
      <c r="G168" s="34" t="s">
        <v>48</v>
      </c>
      <c r="H168" s="37" t="s">
        <v>67</v>
      </c>
      <c r="I168" s="37" t="s">
        <v>67</v>
      </c>
      <c r="J168" s="92">
        <v>2.0</v>
      </c>
      <c r="K168" s="41"/>
      <c r="L168" s="41" t="s">
        <v>1098</v>
      </c>
      <c r="M168" s="42"/>
      <c r="N168" s="19"/>
      <c r="O168" s="17" t="s">
        <v>1099</v>
      </c>
      <c r="P168" s="20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ht="41.25" customHeight="1">
      <c r="A169" s="24" t="s">
        <v>579</v>
      </c>
      <c r="B169" s="25"/>
      <c r="C169" s="25">
        <v>297.0</v>
      </c>
      <c r="D169" s="25">
        <v>6.0</v>
      </c>
      <c r="E169" s="25">
        <v>2.0</v>
      </c>
      <c r="F169" s="30" t="s">
        <v>1123</v>
      </c>
      <c r="G169" s="34" t="s">
        <v>49</v>
      </c>
      <c r="H169" s="92">
        <v>1.0</v>
      </c>
      <c r="I169" s="37" t="s">
        <v>162</v>
      </c>
      <c r="J169" s="37" t="s">
        <v>67</v>
      </c>
      <c r="K169" s="41">
        <f t="shared" ref="K169:K170" si="17">H169-J169</f>
        <v>1</v>
      </c>
      <c r="L169" s="41" t="s">
        <v>1098</v>
      </c>
      <c r="M169" s="42"/>
      <c r="N169" s="19"/>
      <c r="O169" s="17" t="s">
        <v>1099</v>
      </c>
      <c r="P169" s="20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ht="41.25" customHeight="1">
      <c r="A170" s="24" t="s">
        <v>587</v>
      </c>
      <c r="B170" s="25"/>
      <c r="C170" s="25">
        <v>298.0</v>
      </c>
      <c r="D170" s="25">
        <v>4.0</v>
      </c>
      <c r="E170" s="25">
        <v>2.0</v>
      </c>
      <c r="F170" s="30" t="s">
        <v>1124</v>
      </c>
      <c r="G170" s="34" t="s">
        <v>49</v>
      </c>
      <c r="H170" s="92">
        <v>1.0</v>
      </c>
      <c r="I170" s="92">
        <v>1.0</v>
      </c>
      <c r="J170" s="37" t="s">
        <v>67</v>
      </c>
      <c r="K170" s="41">
        <f t="shared" si="17"/>
        <v>1</v>
      </c>
      <c r="L170" s="41" t="s">
        <v>1098</v>
      </c>
      <c r="M170" s="42"/>
      <c r="N170" s="19"/>
      <c r="O170" s="17" t="s">
        <v>1099</v>
      </c>
      <c r="P170" s="20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ht="41.25" customHeight="1">
      <c r="A171" s="24" t="s">
        <v>929</v>
      </c>
      <c r="B171" s="25"/>
      <c r="C171" s="25">
        <v>301.0</v>
      </c>
      <c r="D171" s="25">
        <v>14.0</v>
      </c>
      <c r="E171" s="25">
        <v>2.0</v>
      </c>
      <c r="F171" s="30" t="s">
        <v>1125</v>
      </c>
      <c r="G171" s="98" t="s">
        <v>178</v>
      </c>
      <c r="H171" s="37" t="s">
        <v>67</v>
      </c>
      <c r="I171" s="37" t="s">
        <v>162</v>
      </c>
      <c r="J171" s="92">
        <v>1.0</v>
      </c>
      <c r="K171" s="41"/>
      <c r="L171" s="41" t="s">
        <v>1098</v>
      </c>
      <c r="M171" s="42"/>
      <c r="N171" s="19"/>
      <c r="O171" s="17" t="s">
        <v>1099</v>
      </c>
      <c r="P171" s="20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ht="41.25" customHeight="1">
      <c r="A172" s="24" t="s">
        <v>934</v>
      </c>
      <c r="B172" s="25"/>
      <c r="C172" s="25">
        <v>305.0</v>
      </c>
      <c r="D172" s="25">
        <v>4.0</v>
      </c>
      <c r="E172" s="25">
        <v>1.0</v>
      </c>
      <c r="F172" s="30" t="s">
        <v>1126</v>
      </c>
      <c r="G172" s="98" t="s">
        <v>178</v>
      </c>
      <c r="H172" s="37" t="s">
        <v>67</v>
      </c>
      <c r="I172" s="92">
        <v>2.0</v>
      </c>
      <c r="J172" s="37" t="s">
        <v>67</v>
      </c>
      <c r="K172" s="99"/>
      <c r="L172" s="41" t="s">
        <v>1098</v>
      </c>
      <c r="M172" s="42"/>
      <c r="N172" s="19"/>
      <c r="O172" s="17" t="s">
        <v>1099</v>
      </c>
      <c r="P172" s="20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ht="41.25" customHeight="1">
      <c r="A173" s="24" t="s">
        <v>592</v>
      </c>
      <c r="B173" s="25"/>
      <c r="C173" s="25">
        <v>306.0</v>
      </c>
      <c r="D173" s="25">
        <v>7.0</v>
      </c>
      <c r="E173" s="25">
        <v>2.0</v>
      </c>
      <c r="F173" s="30" t="s">
        <v>1127</v>
      </c>
      <c r="G173" s="34" t="s">
        <v>49</v>
      </c>
      <c r="H173" s="37" t="s">
        <v>162</v>
      </c>
      <c r="I173" s="92">
        <v>1.0</v>
      </c>
      <c r="J173" s="37" t="s">
        <v>67</v>
      </c>
      <c r="K173" s="41">
        <f>H173-J173</f>
        <v>1</v>
      </c>
      <c r="L173" s="41" t="s">
        <v>1098</v>
      </c>
      <c r="M173" s="42"/>
      <c r="N173" s="19"/>
      <c r="O173" s="17" t="s">
        <v>1099</v>
      </c>
      <c r="P173" s="20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ht="41.25" customHeight="1">
      <c r="A174" s="24" t="s">
        <v>1128</v>
      </c>
      <c r="B174" s="25"/>
      <c r="C174" s="25">
        <v>307.0</v>
      </c>
      <c r="D174" s="25">
        <v>5.0</v>
      </c>
      <c r="E174" s="25">
        <v>1.0</v>
      </c>
      <c r="F174" s="30" t="s">
        <v>1129</v>
      </c>
      <c r="G174" s="34" t="s">
        <v>48</v>
      </c>
      <c r="H174" s="37" t="s">
        <v>67</v>
      </c>
      <c r="I174" s="92">
        <v>1.0</v>
      </c>
      <c r="J174" s="92">
        <v>1.0</v>
      </c>
      <c r="K174" s="41"/>
      <c r="L174" s="41" t="s">
        <v>1098</v>
      </c>
      <c r="M174" s="42"/>
      <c r="N174" s="19"/>
      <c r="O174" s="17" t="s">
        <v>1099</v>
      </c>
      <c r="P174" s="20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ht="41.25" customHeight="1">
      <c r="A175" s="24" t="s">
        <v>601</v>
      </c>
      <c r="B175" s="25"/>
      <c r="C175" s="25">
        <v>308.0</v>
      </c>
      <c r="D175" s="25">
        <v>3.0</v>
      </c>
      <c r="E175" s="25">
        <v>1.0</v>
      </c>
      <c r="F175" s="30" t="s">
        <v>1130</v>
      </c>
      <c r="G175" s="34" t="s">
        <v>49</v>
      </c>
      <c r="H175" s="92">
        <v>1.0</v>
      </c>
      <c r="I175" s="92">
        <v>1.0</v>
      </c>
      <c r="J175" s="37" t="s">
        <v>67</v>
      </c>
      <c r="K175" s="41">
        <f>H175-J175</f>
        <v>1</v>
      </c>
      <c r="L175" s="41" t="s">
        <v>1098</v>
      </c>
      <c r="M175" s="42"/>
      <c r="N175" s="19"/>
      <c r="O175" s="17" t="s">
        <v>1099</v>
      </c>
      <c r="P175" s="20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ht="41.25" customHeight="1">
      <c r="A176" s="59" t="s">
        <v>1131</v>
      </c>
      <c r="B176" s="25"/>
      <c r="C176" s="25">
        <v>310.0</v>
      </c>
      <c r="D176" s="25">
        <v>9.0</v>
      </c>
      <c r="E176" s="25">
        <v>4.0</v>
      </c>
      <c r="F176" s="30" t="s">
        <v>1132</v>
      </c>
      <c r="G176" s="34" t="s">
        <v>48</v>
      </c>
      <c r="H176" s="37" t="s">
        <v>67</v>
      </c>
      <c r="I176" s="37" t="s">
        <v>162</v>
      </c>
      <c r="J176" s="92">
        <v>1.0</v>
      </c>
      <c r="K176" s="41"/>
      <c r="L176" s="41" t="s">
        <v>1098</v>
      </c>
      <c r="M176" s="42"/>
      <c r="N176" s="19"/>
      <c r="O176" s="17" t="s">
        <v>1099</v>
      </c>
      <c r="P176" s="20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ht="41.25" customHeight="1">
      <c r="A177" s="59" t="s">
        <v>1133</v>
      </c>
      <c r="B177" s="25"/>
      <c r="C177" s="25">
        <v>326.0</v>
      </c>
      <c r="D177" s="25">
        <v>4.0</v>
      </c>
      <c r="E177" s="25">
        <v>1.0</v>
      </c>
      <c r="F177" s="30" t="s">
        <v>1134</v>
      </c>
      <c r="G177" s="34" t="s">
        <v>48</v>
      </c>
      <c r="H177" s="37" t="s">
        <v>67</v>
      </c>
      <c r="I177" s="37" t="s">
        <v>162</v>
      </c>
      <c r="J177" s="37" t="s">
        <v>162</v>
      </c>
      <c r="K177" s="41"/>
      <c r="L177" s="41" t="s">
        <v>1098</v>
      </c>
      <c r="M177" s="42"/>
      <c r="N177" s="19"/>
      <c r="O177" s="17" t="s">
        <v>1099</v>
      </c>
      <c r="P177" s="20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ht="41.25" customHeight="1">
      <c r="A178" s="24" t="s">
        <v>608</v>
      </c>
      <c r="B178" s="25"/>
      <c r="C178" s="25">
        <v>327.0</v>
      </c>
      <c r="D178" s="25">
        <v>7.0</v>
      </c>
      <c r="E178" s="25">
        <v>2.0</v>
      </c>
      <c r="F178" s="30" t="s">
        <v>1135</v>
      </c>
      <c r="G178" s="34" t="s">
        <v>49</v>
      </c>
      <c r="H178" s="37" t="s">
        <v>56</v>
      </c>
      <c r="I178" s="37" t="s">
        <v>67</v>
      </c>
      <c r="J178" s="37" t="s">
        <v>67</v>
      </c>
      <c r="K178" s="41">
        <f t="shared" ref="K178:K179" si="18">H178-J178</f>
        <v>2</v>
      </c>
      <c r="L178" s="41" t="s">
        <v>1098</v>
      </c>
      <c r="M178" s="42"/>
      <c r="N178" s="19"/>
      <c r="O178" s="17" t="s">
        <v>1099</v>
      </c>
      <c r="P178" s="20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ht="41.25" customHeight="1">
      <c r="A179" s="24" t="s">
        <v>616</v>
      </c>
      <c r="B179" s="25"/>
      <c r="C179" s="25">
        <v>328.0</v>
      </c>
      <c r="D179" s="25">
        <v>3.0</v>
      </c>
      <c r="E179" s="25">
        <v>1.0</v>
      </c>
      <c r="F179" s="30" t="s">
        <v>1136</v>
      </c>
      <c r="G179" s="34" t="s">
        <v>49</v>
      </c>
      <c r="H179" s="92">
        <v>2.0</v>
      </c>
      <c r="I179" s="37" t="s">
        <v>67</v>
      </c>
      <c r="J179" s="92">
        <v>1.0</v>
      </c>
      <c r="K179" s="41">
        <f t="shared" si="18"/>
        <v>1</v>
      </c>
      <c r="L179" s="41" t="s">
        <v>1098</v>
      </c>
      <c r="M179" s="42"/>
      <c r="N179" s="19"/>
      <c r="O179" s="17" t="s">
        <v>1099</v>
      </c>
      <c r="P179" s="20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ht="41.25" customHeight="1">
      <c r="A180" s="59" t="s">
        <v>938</v>
      </c>
      <c r="B180" s="64" t="s">
        <v>167</v>
      </c>
      <c r="C180" s="25">
        <v>329.0</v>
      </c>
      <c r="D180" s="25">
        <v>3.0</v>
      </c>
      <c r="E180" s="25">
        <v>1.0</v>
      </c>
      <c r="F180" s="30" t="s">
        <v>1137</v>
      </c>
      <c r="G180" s="53" t="s">
        <v>1072</v>
      </c>
      <c r="H180" s="37" t="s">
        <v>67</v>
      </c>
      <c r="I180" s="37" t="s">
        <v>67</v>
      </c>
      <c r="J180" s="92">
        <v>2.0</v>
      </c>
      <c r="K180" s="41"/>
      <c r="L180" s="41" t="s">
        <v>1098</v>
      </c>
      <c r="M180" s="42"/>
      <c r="N180" s="19"/>
      <c r="O180" s="17" t="s">
        <v>1099</v>
      </c>
      <c r="P180" s="20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ht="41.25" customHeight="1">
      <c r="A181" s="59" t="s">
        <v>940</v>
      </c>
      <c r="B181" s="25"/>
      <c r="C181" s="25">
        <v>331.0</v>
      </c>
      <c r="D181" s="25">
        <v>3.0</v>
      </c>
      <c r="E181" s="25">
        <v>1.0</v>
      </c>
      <c r="F181" s="30" t="s">
        <v>1138</v>
      </c>
      <c r="G181" s="98" t="s">
        <v>178</v>
      </c>
      <c r="H181" s="37" t="s">
        <v>67</v>
      </c>
      <c r="I181" s="37" t="s">
        <v>162</v>
      </c>
      <c r="J181" s="92">
        <v>1.0</v>
      </c>
      <c r="K181" s="99"/>
      <c r="L181" s="41" t="s">
        <v>1098</v>
      </c>
      <c r="M181" s="42"/>
      <c r="N181" s="19"/>
      <c r="O181" s="17" t="s">
        <v>1099</v>
      </c>
      <c r="P181" s="20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ht="41.25" customHeight="1">
      <c r="A182" s="24" t="s">
        <v>625</v>
      </c>
      <c r="B182" s="25"/>
      <c r="C182" s="25">
        <v>332.0</v>
      </c>
      <c r="D182" s="25">
        <v>10.0</v>
      </c>
      <c r="E182" s="25">
        <v>2.0</v>
      </c>
      <c r="F182" s="30" t="s">
        <v>1139</v>
      </c>
      <c r="G182" s="34" t="s">
        <v>49</v>
      </c>
      <c r="H182" s="37" t="s">
        <v>162</v>
      </c>
      <c r="I182" s="92">
        <v>1.0</v>
      </c>
      <c r="J182" s="37" t="s">
        <v>67</v>
      </c>
      <c r="K182" s="41">
        <f t="shared" ref="K182:K183" si="19">H182-J182</f>
        <v>1</v>
      </c>
      <c r="L182" s="41" t="s">
        <v>1098</v>
      </c>
      <c r="M182" s="42"/>
      <c r="N182" s="19"/>
      <c r="O182" s="17" t="s">
        <v>1099</v>
      </c>
      <c r="P182" s="20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ht="41.25" customHeight="1">
      <c r="A183" s="24" t="s">
        <v>634</v>
      </c>
      <c r="B183" s="25"/>
      <c r="C183" s="25">
        <v>334.0</v>
      </c>
      <c r="D183" s="25">
        <v>13.0</v>
      </c>
      <c r="E183" s="25">
        <v>2.0</v>
      </c>
      <c r="F183" s="30" t="s">
        <v>1140</v>
      </c>
      <c r="G183" s="34" t="s">
        <v>49</v>
      </c>
      <c r="H183" s="92">
        <v>1.0</v>
      </c>
      <c r="I183" s="37" t="s">
        <v>162</v>
      </c>
      <c r="J183" s="37" t="s">
        <v>67</v>
      </c>
      <c r="K183" s="41">
        <f t="shared" si="19"/>
        <v>1</v>
      </c>
      <c r="L183" s="41" t="s">
        <v>1098</v>
      </c>
      <c r="M183" s="42"/>
      <c r="N183" s="19"/>
      <c r="O183" s="17" t="s">
        <v>1099</v>
      </c>
      <c r="P183" s="20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ht="41.25" customHeight="1">
      <c r="A184" s="59" t="s">
        <v>1141</v>
      </c>
      <c r="B184" s="25"/>
      <c r="C184" s="25">
        <v>335.0</v>
      </c>
      <c r="D184" s="25">
        <v>5.0</v>
      </c>
      <c r="E184" s="25">
        <v>2.0</v>
      </c>
      <c r="F184" s="30" t="s">
        <v>1142</v>
      </c>
      <c r="G184" s="34" t="s">
        <v>48</v>
      </c>
      <c r="H184" s="92">
        <v>1.0</v>
      </c>
      <c r="I184" s="37" t="s">
        <v>67</v>
      </c>
      <c r="J184" s="92">
        <v>1.0</v>
      </c>
      <c r="K184" s="41"/>
      <c r="L184" s="41" t="s">
        <v>1098</v>
      </c>
      <c r="M184" s="42"/>
      <c r="N184" s="19"/>
      <c r="O184" s="17" t="s">
        <v>1099</v>
      </c>
      <c r="P184" s="20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ht="41.25" customHeight="1">
      <c r="A185" s="24" t="s">
        <v>641</v>
      </c>
      <c r="B185" s="25"/>
      <c r="C185" s="25">
        <v>336.0</v>
      </c>
      <c r="D185" s="25">
        <v>22.0</v>
      </c>
      <c r="E185" s="25">
        <v>3.0</v>
      </c>
      <c r="F185" s="30" t="s">
        <v>1143</v>
      </c>
      <c r="G185" s="34" t="s">
        <v>49</v>
      </c>
      <c r="H185" s="37" t="s">
        <v>162</v>
      </c>
      <c r="I185" s="37" t="s">
        <v>162</v>
      </c>
      <c r="J185" s="37" t="s">
        <v>67</v>
      </c>
      <c r="K185" s="41">
        <f>H185-J185</f>
        <v>1</v>
      </c>
      <c r="L185" s="41" t="s">
        <v>1098</v>
      </c>
      <c r="M185" s="42"/>
      <c r="N185" s="19"/>
      <c r="O185" s="17" t="s">
        <v>1099</v>
      </c>
      <c r="P185" s="20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ht="41.25" customHeight="1">
      <c r="A186" s="24" t="s">
        <v>1144</v>
      </c>
      <c r="B186" s="25"/>
      <c r="C186" s="25">
        <v>337.0</v>
      </c>
      <c r="D186" s="25">
        <v>9.0</v>
      </c>
      <c r="E186" s="25">
        <v>2.0</v>
      </c>
      <c r="F186" s="30" t="s">
        <v>1145</v>
      </c>
      <c r="G186" s="34" t="s">
        <v>48</v>
      </c>
      <c r="H186" s="37" t="s">
        <v>67</v>
      </c>
      <c r="I186" s="37" t="s">
        <v>162</v>
      </c>
      <c r="J186" s="92">
        <v>1.0</v>
      </c>
      <c r="K186" s="41"/>
      <c r="L186" s="41" t="s">
        <v>1098</v>
      </c>
      <c r="M186" s="42"/>
      <c r="N186" s="19"/>
      <c r="O186" s="17" t="s">
        <v>1099</v>
      </c>
      <c r="P186" s="20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ht="41.25" customHeight="1">
      <c r="A187" s="59" t="s">
        <v>1146</v>
      </c>
      <c r="B187" s="25"/>
      <c r="C187" s="25">
        <v>338.0</v>
      </c>
      <c r="D187" s="25">
        <v>9.0</v>
      </c>
      <c r="E187" s="25">
        <v>2.0</v>
      </c>
      <c r="F187" s="30" t="s">
        <v>1147</v>
      </c>
      <c r="G187" s="34" t="s">
        <v>48</v>
      </c>
      <c r="H187" s="37" t="s">
        <v>67</v>
      </c>
      <c r="I187" s="92">
        <v>1.0</v>
      </c>
      <c r="J187" s="92">
        <v>1.0</v>
      </c>
      <c r="K187" s="41"/>
      <c r="L187" s="41" t="s">
        <v>1098</v>
      </c>
      <c r="M187" s="42"/>
      <c r="N187" s="19"/>
      <c r="O187" s="17" t="s">
        <v>1099</v>
      </c>
      <c r="P187" s="20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ht="41.25" customHeight="1">
      <c r="A188" s="24" t="s">
        <v>1148</v>
      </c>
      <c r="B188" s="25"/>
      <c r="C188" s="25">
        <v>339.0</v>
      </c>
      <c r="D188" s="25">
        <v>7.0</v>
      </c>
      <c r="E188" s="25">
        <v>2.0</v>
      </c>
      <c r="F188" s="30" t="s">
        <v>1149</v>
      </c>
      <c r="G188" s="34" t="s">
        <v>48</v>
      </c>
      <c r="H188" s="37" t="s">
        <v>67</v>
      </c>
      <c r="I188" s="37" t="s">
        <v>67</v>
      </c>
      <c r="J188" s="92">
        <v>2.0</v>
      </c>
      <c r="K188" s="41"/>
      <c r="L188" s="41" t="s">
        <v>1098</v>
      </c>
      <c r="M188" s="42"/>
      <c r="N188" s="19"/>
      <c r="O188" s="17" t="s">
        <v>1099</v>
      </c>
      <c r="P188" s="20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ht="41.25" customHeight="1">
      <c r="A189" s="24" t="s">
        <v>647</v>
      </c>
      <c r="B189" s="25"/>
      <c r="C189" s="25">
        <v>340.0</v>
      </c>
      <c r="D189" s="25">
        <v>15.0</v>
      </c>
      <c r="E189" s="25">
        <v>4.0</v>
      </c>
      <c r="F189" s="30" t="s">
        <v>1150</v>
      </c>
      <c r="G189" s="34" t="s">
        <v>49</v>
      </c>
      <c r="H189" s="92">
        <v>2.0</v>
      </c>
      <c r="I189" s="37" t="s">
        <v>67</v>
      </c>
      <c r="J189" s="37" t="s">
        <v>67</v>
      </c>
      <c r="K189" s="41">
        <f>H189-J189</f>
        <v>2</v>
      </c>
      <c r="L189" s="41" t="s">
        <v>1098</v>
      </c>
      <c r="M189" s="42"/>
      <c r="N189" s="19"/>
      <c r="O189" s="17" t="s">
        <v>1099</v>
      </c>
      <c r="P189" s="20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ht="41.25" customHeight="1">
      <c r="A190" s="24" t="s">
        <v>1151</v>
      </c>
      <c r="B190" s="25"/>
      <c r="C190" s="25">
        <v>341.0</v>
      </c>
      <c r="D190" s="25">
        <v>1.0</v>
      </c>
      <c r="E190" s="25">
        <v>0.0</v>
      </c>
      <c r="F190" s="30" t="s">
        <v>1152</v>
      </c>
      <c r="G190" s="34" t="s">
        <v>48</v>
      </c>
      <c r="H190" s="37" t="s">
        <v>67</v>
      </c>
      <c r="I190" s="37" t="s">
        <v>67</v>
      </c>
      <c r="J190" s="92">
        <v>2.0</v>
      </c>
      <c r="K190" s="41"/>
      <c r="L190" s="41" t="s">
        <v>1098</v>
      </c>
      <c r="M190" s="42"/>
      <c r="N190" s="19"/>
      <c r="O190" s="17" t="s">
        <v>1099</v>
      </c>
      <c r="P190" s="20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ht="41.25" customHeight="1">
      <c r="A191" s="24" t="s">
        <v>654</v>
      </c>
      <c r="B191" s="25"/>
      <c r="C191" s="25">
        <v>342.0</v>
      </c>
      <c r="D191" s="25">
        <v>1.0</v>
      </c>
      <c r="E191" s="25">
        <v>1.0</v>
      </c>
      <c r="F191" s="30" t="s">
        <v>1153</v>
      </c>
      <c r="G191" s="34" t="s">
        <v>49</v>
      </c>
      <c r="H191" s="92">
        <v>1.0</v>
      </c>
      <c r="I191" s="37" t="s">
        <v>162</v>
      </c>
      <c r="J191" s="37" t="s">
        <v>67</v>
      </c>
      <c r="K191" s="41">
        <f>H191-J191</f>
        <v>1</v>
      </c>
      <c r="L191" s="41" t="s">
        <v>1098</v>
      </c>
      <c r="M191" s="42"/>
      <c r="N191" s="19"/>
      <c r="O191" s="17" t="s">
        <v>1099</v>
      </c>
      <c r="P191" s="20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ht="41.25" customHeight="1">
      <c r="A192" s="59" t="s">
        <v>946</v>
      </c>
      <c r="B192" s="25"/>
      <c r="C192" s="25">
        <v>344.0</v>
      </c>
      <c r="D192" s="25">
        <v>3.0</v>
      </c>
      <c r="E192" s="25">
        <v>1.0</v>
      </c>
      <c r="F192" s="30" t="s">
        <v>1154</v>
      </c>
      <c r="G192" s="98" t="s">
        <v>178</v>
      </c>
      <c r="H192" s="37" t="s">
        <v>67</v>
      </c>
      <c r="I192" s="37" t="s">
        <v>162</v>
      </c>
      <c r="J192" s="92">
        <v>1.0</v>
      </c>
      <c r="K192" s="41"/>
      <c r="L192" s="41" t="s">
        <v>1098</v>
      </c>
      <c r="M192" s="42"/>
      <c r="N192" s="19"/>
      <c r="O192" s="17" t="s">
        <v>1099</v>
      </c>
      <c r="P192" s="20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ht="41.25" customHeight="1">
      <c r="A193" s="59" t="s">
        <v>951</v>
      </c>
      <c r="B193" s="25"/>
      <c r="C193" s="25">
        <v>345.0</v>
      </c>
      <c r="D193" s="25">
        <v>1.0</v>
      </c>
      <c r="E193" s="25">
        <v>0.0</v>
      </c>
      <c r="F193" s="30" t="s">
        <v>1155</v>
      </c>
      <c r="G193" s="98" t="s">
        <v>178</v>
      </c>
      <c r="H193" s="37" t="s">
        <v>67</v>
      </c>
      <c r="I193" s="92">
        <v>1.0</v>
      </c>
      <c r="J193" s="37" t="s">
        <v>162</v>
      </c>
      <c r="K193" s="99"/>
      <c r="L193" s="41" t="s">
        <v>1098</v>
      </c>
      <c r="M193" s="42"/>
      <c r="N193" s="19"/>
      <c r="O193" s="17" t="s">
        <v>1099</v>
      </c>
      <c r="P193" s="20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ht="41.25" customHeight="1">
      <c r="A194" s="24" t="s">
        <v>661</v>
      </c>
      <c r="B194" s="25"/>
      <c r="C194" s="25">
        <v>346.0</v>
      </c>
      <c r="D194" s="25">
        <v>9.0</v>
      </c>
      <c r="E194" s="25">
        <v>2.0</v>
      </c>
      <c r="F194" s="30" t="s">
        <v>1156</v>
      </c>
      <c r="G194" s="34" t="s">
        <v>49</v>
      </c>
      <c r="H194" s="37" t="s">
        <v>162</v>
      </c>
      <c r="I194" s="37" t="s">
        <v>162</v>
      </c>
      <c r="J194" s="37" t="s">
        <v>67</v>
      </c>
      <c r="K194" s="41">
        <f t="shared" ref="K194:K195" si="20">H194-J194</f>
        <v>1</v>
      </c>
      <c r="L194" s="41" t="s">
        <v>1098</v>
      </c>
      <c r="M194" s="42"/>
      <c r="N194" s="19"/>
      <c r="O194" s="17" t="s">
        <v>1099</v>
      </c>
      <c r="P194" s="20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ht="41.25" customHeight="1">
      <c r="A195" s="24" t="s">
        <v>668</v>
      </c>
      <c r="B195" s="25"/>
      <c r="C195" s="25">
        <v>347.0</v>
      </c>
      <c r="D195" s="25">
        <v>18.0</v>
      </c>
      <c r="E195" s="25">
        <v>5.0</v>
      </c>
      <c r="F195" s="30" t="s">
        <v>820</v>
      </c>
      <c r="G195" s="34" t="s">
        <v>49</v>
      </c>
      <c r="H195" s="92">
        <v>1.0</v>
      </c>
      <c r="I195" s="37" t="s">
        <v>162</v>
      </c>
      <c r="J195" s="37" t="s">
        <v>67</v>
      </c>
      <c r="K195" s="41">
        <f t="shared" si="20"/>
        <v>1</v>
      </c>
      <c r="L195" s="41" t="s">
        <v>1098</v>
      </c>
      <c r="M195" s="42"/>
      <c r="N195" s="19"/>
      <c r="O195" s="17" t="s">
        <v>1099</v>
      </c>
      <c r="P195" s="20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ht="41.25" customHeight="1">
      <c r="A196" s="24" t="s">
        <v>957</v>
      </c>
      <c r="B196" s="25"/>
      <c r="C196" s="25">
        <v>350.0</v>
      </c>
      <c r="D196" s="25">
        <v>7.0</v>
      </c>
      <c r="E196" s="25">
        <v>2.0</v>
      </c>
      <c r="F196" s="30" t="s">
        <v>1157</v>
      </c>
      <c r="G196" s="98" t="s">
        <v>164</v>
      </c>
      <c r="H196" s="37" t="s">
        <v>67</v>
      </c>
      <c r="I196" s="92">
        <v>2.0</v>
      </c>
      <c r="J196" s="37" t="s">
        <v>56</v>
      </c>
      <c r="K196" s="41"/>
      <c r="L196" s="41" t="s">
        <v>1098</v>
      </c>
      <c r="M196" s="42"/>
      <c r="N196" s="19"/>
      <c r="O196" s="17" t="s">
        <v>1099</v>
      </c>
      <c r="P196" s="20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ht="41.25" customHeight="1">
      <c r="A197" s="59" t="s">
        <v>960</v>
      </c>
      <c r="B197" s="25"/>
      <c r="C197" s="25">
        <v>351.0</v>
      </c>
      <c r="D197" s="25">
        <v>16.0</v>
      </c>
      <c r="E197" s="25">
        <v>6.0</v>
      </c>
      <c r="F197" s="30" t="s">
        <v>1158</v>
      </c>
      <c r="G197" s="98" t="s">
        <v>178</v>
      </c>
      <c r="H197" s="37" t="s">
        <v>67</v>
      </c>
      <c r="I197" s="37" t="s">
        <v>162</v>
      </c>
      <c r="J197" s="92">
        <v>1.0</v>
      </c>
      <c r="K197" s="99"/>
      <c r="L197" s="41" t="s">
        <v>1098</v>
      </c>
      <c r="M197" s="42"/>
      <c r="N197" s="19"/>
      <c r="O197" s="17" t="s">
        <v>1099</v>
      </c>
      <c r="P197" s="20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ht="41.25" customHeight="1">
      <c r="A198" s="24" t="s">
        <v>675</v>
      </c>
      <c r="B198" s="25"/>
      <c r="C198" s="25">
        <v>354.0</v>
      </c>
      <c r="D198" s="25">
        <v>4.0</v>
      </c>
      <c r="E198" s="25">
        <v>2.0</v>
      </c>
      <c r="F198" s="30" t="s">
        <v>1159</v>
      </c>
      <c r="G198" s="34" t="s">
        <v>49</v>
      </c>
      <c r="H198" s="37" t="s">
        <v>56</v>
      </c>
      <c r="I198" s="37" t="s">
        <v>162</v>
      </c>
      <c r="J198" s="37" t="s">
        <v>67</v>
      </c>
      <c r="K198" s="41">
        <f t="shared" ref="K198:K201" si="21">H198-J198</f>
        <v>2</v>
      </c>
      <c r="L198" s="41" t="s">
        <v>1098</v>
      </c>
      <c r="M198" s="42"/>
      <c r="N198" s="19"/>
      <c r="O198" s="17" t="s">
        <v>1099</v>
      </c>
      <c r="P198" s="20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ht="41.25" customHeight="1">
      <c r="A199" s="24" t="s">
        <v>965</v>
      </c>
      <c r="B199" s="25"/>
      <c r="C199" s="25">
        <v>358.0</v>
      </c>
      <c r="D199" s="25">
        <v>3.0</v>
      </c>
      <c r="E199" s="25">
        <v>1.0</v>
      </c>
      <c r="F199" s="30" t="s">
        <v>1160</v>
      </c>
      <c r="G199" s="98" t="s">
        <v>178</v>
      </c>
      <c r="H199" s="37" t="s">
        <v>162</v>
      </c>
      <c r="I199" s="37" t="s">
        <v>56</v>
      </c>
      <c r="J199" s="37" t="s">
        <v>67</v>
      </c>
      <c r="K199" s="99">
        <f t="shared" si="21"/>
        <v>1</v>
      </c>
      <c r="L199" s="41" t="s">
        <v>1098</v>
      </c>
      <c r="M199" s="42"/>
      <c r="N199" s="133" t="s">
        <v>1161</v>
      </c>
      <c r="O199" s="19" t="s">
        <v>1099</v>
      </c>
      <c r="P199" s="20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ht="41.25" customHeight="1">
      <c r="A200" s="134" t="s">
        <v>684</v>
      </c>
      <c r="B200" s="122"/>
      <c r="C200" s="122">
        <v>359.0</v>
      </c>
      <c r="D200" s="122">
        <v>3.0</v>
      </c>
      <c r="E200" s="122">
        <v>1.0</v>
      </c>
      <c r="F200" s="123" t="s">
        <v>1162</v>
      </c>
      <c r="G200" s="124" t="s">
        <v>49</v>
      </c>
      <c r="H200" s="124">
        <v>1.0</v>
      </c>
      <c r="I200" s="135" t="s">
        <v>162</v>
      </c>
      <c r="J200" s="135" t="s">
        <v>67</v>
      </c>
      <c r="K200" s="41">
        <f t="shared" si="21"/>
        <v>1</v>
      </c>
      <c r="L200" s="127" t="s">
        <v>1163</v>
      </c>
      <c r="M200" s="128"/>
      <c r="N200" s="130"/>
      <c r="O200" s="130"/>
      <c r="P200" s="131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</row>
    <row r="201" ht="41.25" customHeight="1">
      <c r="A201" s="24" t="s">
        <v>691</v>
      </c>
      <c r="B201" s="25"/>
      <c r="C201" s="25">
        <v>360.0</v>
      </c>
      <c r="D201" s="25">
        <v>6.0</v>
      </c>
      <c r="E201" s="25">
        <v>1.0</v>
      </c>
      <c r="F201" s="30" t="s">
        <v>1164</v>
      </c>
      <c r="G201" s="53" t="s">
        <v>49</v>
      </c>
      <c r="H201" s="54">
        <v>1.0</v>
      </c>
      <c r="I201" s="56" t="s">
        <v>162</v>
      </c>
      <c r="J201" s="56" t="s">
        <v>67</v>
      </c>
      <c r="K201" s="41">
        <f t="shared" si="21"/>
        <v>1</v>
      </c>
      <c r="L201" s="41" t="s">
        <v>1163</v>
      </c>
      <c r="M201" s="57" t="s">
        <v>1165</v>
      </c>
      <c r="N201" s="17"/>
      <c r="O201" s="17"/>
      <c r="P201" s="20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ht="41.25" customHeight="1">
      <c r="A202" s="59" t="s">
        <v>700</v>
      </c>
      <c r="B202" s="64"/>
      <c r="C202" s="25">
        <v>362.0</v>
      </c>
      <c r="D202" s="25"/>
      <c r="E202" s="25"/>
      <c r="F202" s="30" t="s">
        <v>1166</v>
      </c>
      <c r="G202" s="54" t="s">
        <v>49</v>
      </c>
      <c r="H202" s="56" t="s">
        <v>67</v>
      </c>
      <c r="I202" s="56" t="s">
        <v>67</v>
      </c>
      <c r="J202" s="54">
        <v>1.0</v>
      </c>
      <c r="K202" s="41"/>
      <c r="L202" s="41" t="s">
        <v>1163</v>
      </c>
      <c r="M202" s="57" t="s">
        <v>1167</v>
      </c>
      <c r="N202" s="17"/>
      <c r="O202" s="17"/>
      <c r="P202" s="20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ht="41.25" customHeight="1">
      <c r="A203" s="24" t="s">
        <v>971</v>
      </c>
      <c r="B203" s="25"/>
      <c r="C203" s="25">
        <v>364.0</v>
      </c>
      <c r="D203" s="25">
        <v>16.0</v>
      </c>
      <c r="E203" s="25">
        <v>2.0</v>
      </c>
      <c r="F203" s="30" t="s">
        <v>1168</v>
      </c>
      <c r="G203" s="98" t="s">
        <v>178</v>
      </c>
      <c r="H203" s="56" t="s">
        <v>162</v>
      </c>
      <c r="I203" s="54"/>
      <c r="J203" s="54">
        <v>1.0</v>
      </c>
      <c r="K203" s="99">
        <f>H203-J203</f>
        <v>0</v>
      </c>
      <c r="L203" s="41" t="s">
        <v>1163</v>
      </c>
      <c r="M203" s="57" t="s">
        <v>1165</v>
      </c>
      <c r="N203" s="17"/>
      <c r="O203" s="17"/>
      <c r="P203" s="20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ht="41.25" customHeight="1">
      <c r="A204" s="59" t="s">
        <v>978</v>
      </c>
      <c r="B204" s="25"/>
      <c r="C204" s="25">
        <v>365.0</v>
      </c>
      <c r="D204" s="25">
        <v>11.0</v>
      </c>
      <c r="E204" s="25">
        <v>2.0</v>
      </c>
      <c r="F204" s="30" t="s">
        <v>1169</v>
      </c>
      <c r="G204" s="98" t="s">
        <v>178</v>
      </c>
      <c r="H204" s="56" t="s">
        <v>67</v>
      </c>
      <c r="I204" s="56" t="s">
        <v>56</v>
      </c>
      <c r="J204" s="54">
        <v>1.0</v>
      </c>
      <c r="K204" s="99"/>
      <c r="L204" s="41" t="s">
        <v>1163</v>
      </c>
      <c r="M204" s="57" t="s">
        <v>1165</v>
      </c>
      <c r="N204" s="17"/>
      <c r="O204" s="17"/>
      <c r="P204" s="20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ht="41.25" customHeight="1">
      <c r="A205" s="24" t="s">
        <v>981</v>
      </c>
      <c r="B205" s="25"/>
      <c r="C205" s="25">
        <v>366.0</v>
      </c>
      <c r="D205" s="25">
        <v>2.0</v>
      </c>
      <c r="E205" s="25">
        <v>1.0</v>
      </c>
      <c r="F205" s="30" t="s">
        <v>1170</v>
      </c>
      <c r="G205" s="98" t="s">
        <v>178</v>
      </c>
      <c r="H205" s="56" t="s">
        <v>67</v>
      </c>
      <c r="I205" s="54">
        <v>2.0</v>
      </c>
      <c r="J205" s="56" t="s">
        <v>67</v>
      </c>
      <c r="K205" s="99">
        <f t="shared" ref="K205:K208" si="22">H205-J205</f>
        <v>0</v>
      </c>
      <c r="L205" s="41" t="s">
        <v>1163</v>
      </c>
      <c r="M205" s="57" t="s">
        <v>1165</v>
      </c>
      <c r="N205" s="17"/>
      <c r="O205" s="17"/>
      <c r="P205" s="20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ht="41.25" customHeight="1">
      <c r="A206" s="24" t="s">
        <v>709</v>
      </c>
      <c r="B206" s="64" t="s">
        <v>167</v>
      </c>
      <c r="C206" s="25">
        <v>367.0</v>
      </c>
      <c r="D206" s="25">
        <v>3.0</v>
      </c>
      <c r="E206" s="25">
        <v>2.0</v>
      </c>
      <c r="F206" s="30" t="s">
        <v>1171</v>
      </c>
      <c r="G206" s="53" t="s">
        <v>49</v>
      </c>
      <c r="H206" s="56" t="s">
        <v>56</v>
      </c>
      <c r="I206" s="56" t="s">
        <v>67</v>
      </c>
      <c r="J206" s="56" t="s">
        <v>67</v>
      </c>
      <c r="K206" s="41">
        <f t="shared" si="22"/>
        <v>2</v>
      </c>
      <c r="L206" s="41" t="s">
        <v>1163</v>
      </c>
      <c r="M206" s="57" t="s">
        <v>1165</v>
      </c>
      <c r="N206" s="17"/>
      <c r="O206" s="17"/>
      <c r="P206" s="20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ht="41.25" customHeight="1">
      <c r="A207" s="134" t="s">
        <v>716</v>
      </c>
      <c r="B207" s="122"/>
      <c r="C207" s="122">
        <v>368.0</v>
      </c>
      <c r="D207" s="122">
        <v>2.0</v>
      </c>
      <c r="E207" s="122">
        <v>1.0</v>
      </c>
      <c r="F207" s="123" t="s">
        <v>1172</v>
      </c>
      <c r="G207" s="53" t="s">
        <v>49</v>
      </c>
      <c r="H207" s="124">
        <v>2.0</v>
      </c>
      <c r="I207" s="135"/>
      <c r="J207" s="135" t="s">
        <v>162</v>
      </c>
      <c r="K207" s="41">
        <f t="shared" si="22"/>
        <v>1</v>
      </c>
      <c r="L207" s="127" t="s">
        <v>1163</v>
      </c>
      <c r="M207" s="57" t="s">
        <v>1165</v>
      </c>
      <c r="N207" s="130"/>
      <c r="O207" s="130"/>
      <c r="P207" s="131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</row>
    <row r="208" ht="41.25" customHeight="1">
      <c r="A208" s="24" t="s">
        <v>720</v>
      </c>
      <c r="B208" s="25"/>
      <c r="C208" s="25">
        <v>369.0</v>
      </c>
      <c r="D208" s="25">
        <v>9.0</v>
      </c>
      <c r="E208" s="25">
        <v>2.0</v>
      </c>
      <c r="F208" s="30" t="s">
        <v>1173</v>
      </c>
      <c r="G208" s="53" t="s">
        <v>49</v>
      </c>
      <c r="H208" s="54">
        <v>1.0</v>
      </c>
      <c r="I208" s="54">
        <v>1.0</v>
      </c>
      <c r="J208" s="56" t="s">
        <v>67</v>
      </c>
      <c r="K208" s="41">
        <f t="shared" si="22"/>
        <v>1</v>
      </c>
      <c r="L208" s="41" t="s">
        <v>1163</v>
      </c>
      <c r="M208" s="57" t="s">
        <v>1165</v>
      </c>
      <c r="N208" s="17"/>
      <c r="O208" s="17"/>
      <c r="P208" s="20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ht="48.75" customHeight="1">
      <c r="A209" s="136" t="s">
        <v>729</v>
      </c>
      <c r="B209" s="137"/>
      <c r="C209" s="137">
        <v>370.0</v>
      </c>
      <c r="D209" s="137">
        <v>4.0</v>
      </c>
      <c r="E209" s="137">
        <v>1.0</v>
      </c>
      <c r="F209" s="138" t="s">
        <v>1174</v>
      </c>
      <c r="G209" s="139" t="s">
        <v>49</v>
      </c>
      <c r="H209" s="140" t="s">
        <v>67</v>
      </c>
      <c r="I209" s="140" t="s">
        <v>162</v>
      </c>
      <c r="J209" s="139">
        <v>1.0</v>
      </c>
      <c r="K209" s="141"/>
      <c r="L209" s="141" t="s">
        <v>1163</v>
      </c>
      <c r="M209" s="142" t="s">
        <v>1165</v>
      </c>
      <c r="N209" s="143"/>
      <c r="O209" s="143"/>
      <c r="P209" s="144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  <c r="AB209" s="145"/>
    </row>
    <row r="210" ht="41.25" customHeight="1">
      <c r="A210" s="59" t="s">
        <v>734</v>
      </c>
      <c r="B210" s="25"/>
      <c r="C210" s="25">
        <v>371.0</v>
      </c>
      <c r="D210" s="25">
        <v>5.0</v>
      </c>
      <c r="E210" s="25">
        <v>1.0</v>
      </c>
      <c r="F210" s="30" t="s">
        <v>1175</v>
      </c>
      <c r="G210" s="53" t="s">
        <v>49</v>
      </c>
      <c r="H210" s="56" t="s">
        <v>67</v>
      </c>
      <c r="I210" s="56" t="s">
        <v>162</v>
      </c>
      <c r="J210" s="54">
        <v>1.0</v>
      </c>
      <c r="K210" s="41"/>
      <c r="L210" s="41" t="s">
        <v>1163</v>
      </c>
      <c r="M210" s="57" t="s">
        <v>1165</v>
      </c>
      <c r="N210" s="17"/>
      <c r="O210" s="17"/>
      <c r="P210" s="20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ht="41.25" customHeight="1">
      <c r="A211" s="24" t="s">
        <v>742</v>
      </c>
      <c r="B211" s="25"/>
      <c r="C211" s="25">
        <v>372.0</v>
      </c>
      <c r="D211" s="25">
        <v>6.0</v>
      </c>
      <c r="E211" s="25">
        <v>1.0</v>
      </c>
      <c r="F211" s="30" t="s">
        <v>1176</v>
      </c>
      <c r="G211" s="53" t="s">
        <v>49</v>
      </c>
      <c r="H211" s="54">
        <v>2.0</v>
      </c>
      <c r="I211" s="56" t="s">
        <v>67</v>
      </c>
      <c r="J211" s="56" t="s">
        <v>67</v>
      </c>
      <c r="K211" s="41">
        <f t="shared" ref="K211:K214" si="23">H211-J211</f>
        <v>2</v>
      </c>
      <c r="L211" s="41" t="s">
        <v>1163</v>
      </c>
      <c r="M211" s="57" t="s">
        <v>1165</v>
      </c>
      <c r="N211" s="17"/>
      <c r="O211" s="17"/>
      <c r="P211" s="20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ht="41.25" customHeight="1">
      <c r="A212" s="24" t="s">
        <v>752</v>
      </c>
      <c r="B212" s="25"/>
      <c r="C212" s="25">
        <v>374.0</v>
      </c>
      <c r="D212" s="25">
        <v>5.0</v>
      </c>
      <c r="E212" s="25">
        <v>2.0</v>
      </c>
      <c r="F212" s="30" t="s">
        <v>1177</v>
      </c>
      <c r="G212" s="53" t="s">
        <v>49</v>
      </c>
      <c r="H212" s="54">
        <v>2.0</v>
      </c>
      <c r="I212" s="56" t="s">
        <v>67</v>
      </c>
      <c r="J212" s="56" t="s">
        <v>67</v>
      </c>
      <c r="K212" s="41">
        <f t="shared" si="23"/>
        <v>2</v>
      </c>
      <c r="L212" s="41" t="s">
        <v>1163</v>
      </c>
      <c r="M212" s="57" t="s">
        <v>1165</v>
      </c>
      <c r="N212" s="17"/>
      <c r="O212" s="17"/>
      <c r="P212" s="20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ht="41.25" customHeight="1">
      <c r="A213" s="24" t="s">
        <v>759</v>
      </c>
      <c r="B213" s="25"/>
      <c r="C213" s="25">
        <v>375.0</v>
      </c>
      <c r="D213" s="25">
        <v>1.0</v>
      </c>
      <c r="E213" s="25">
        <v>1.0</v>
      </c>
      <c r="F213" s="30" t="s">
        <v>1178</v>
      </c>
      <c r="G213" s="53" t="s">
        <v>49</v>
      </c>
      <c r="H213" s="54">
        <v>2.0</v>
      </c>
      <c r="I213" s="56" t="s">
        <v>67</v>
      </c>
      <c r="J213" s="56" t="s">
        <v>67</v>
      </c>
      <c r="K213" s="41">
        <f t="shared" si="23"/>
        <v>2</v>
      </c>
      <c r="L213" s="41" t="s">
        <v>1163</v>
      </c>
      <c r="M213" s="57" t="s">
        <v>1165</v>
      </c>
      <c r="N213" s="17"/>
      <c r="O213" s="17"/>
      <c r="P213" s="20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ht="41.25" customHeight="1">
      <c r="A214" s="24" t="s">
        <v>765</v>
      </c>
      <c r="B214" s="25"/>
      <c r="C214" s="25">
        <v>378.0</v>
      </c>
      <c r="D214" s="25">
        <v>4.0</v>
      </c>
      <c r="E214" s="25">
        <v>1.0</v>
      </c>
      <c r="F214" s="30" t="s">
        <v>1179</v>
      </c>
      <c r="G214" s="53" t="s">
        <v>49</v>
      </c>
      <c r="H214" s="54">
        <v>1.0</v>
      </c>
      <c r="I214" s="56" t="s">
        <v>162</v>
      </c>
      <c r="J214" s="56" t="s">
        <v>67</v>
      </c>
      <c r="K214" s="41">
        <f t="shared" si="23"/>
        <v>1</v>
      </c>
      <c r="L214" s="41" t="s">
        <v>1163</v>
      </c>
      <c r="M214" s="57" t="s">
        <v>1165</v>
      </c>
      <c r="N214" s="17"/>
      <c r="O214" s="17"/>
      <c r="P214" s="20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ht="41.25" customHeight="1">
      <c r="A215" s="59" t="s">
        <v>772</v>
      </c>
      <c r="B215" s="25"/>
      <c r="C215" s="25">
        <v>379.0</v>
      </c>
      <c r="D215" s="25">
        <v>24.0</v>
      </c>
      <c r="E215" s="25">
        <v>5.0</v>
      </c>
      <c r="F215" s="30" t="s">
        <v>1180</v>
      </c>
      <c r="G215" s="53" t="s">
        <v>49</v>
      </c>
      <c r="H215" s="56" t="s">
        <v>162</v>
      </c>
      <c r="I215" s="54"/>
      <c r="J215" s="54">
        <v>1.0</v>
      </c>
      <c r="K215" s="41"/>
      <c r="L215" s="41" t="s">
        <v>1163</v>
      </c>
      <c r="M215" s="60" t="s">
        <v>1181</v>
      </c>
      <c r="N215" s="17"/>
      <c r="O215" s="17"/>
      <c r="P215" s="20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ht="41.25" customHeight="1">
      <c r="A216" s="59" t="s">
        <v>989</v>
      </c>
      <c r="B216" s="25"/>
      <c r="C216" s="25">
        <v>380.0</v>
      </c>
      <c r="D216" s="25">
        <v>2.0</v>
      </c>
      <c r="E216" s="25">
        <v>1.0</v>
      </c>
      <c r="F216" s="30" t="s">
        <v>1182</v>
      </c>
      <c r="G216" s="98" t="s">
        <v>178</v>
      </c>
      <c r="H216" s="56" t="s">
        <v>67</v>
      </c>
      <c r="I216" s="54">
        <v>1.0</v>
      </c>
      <c r="J216" s="56" t="s">
        <v>67</v>
      </c>
      <c r="K216" s="99"/>
      <c r="L216" s="41" t="s">
        <v>1163</v>
      </c>
      <c r="M216" s="57" t="s">
        <v>1183</v>
      </c>
      <c r="N216" s="17"/>
      <c r="O216" s="17"/>
      <c r="P216" s="20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ht="41.25" customHeight="1">
      <c r="A217" s="24" t="s">
        <v>993</v>
      </c>
      <c r="B217" s="25"/>
      <c r="C217" s="25">
        <v>381.0</v>
      </c>
      <c r="D217" s="25">
        <v>4.0</v>
      </c>
      <c r="E217" s="25">
        <v>2.0</v>
      </c>
      <c r="F217" s="30" t="s">
        <v>1184</v>
      </c>
      <c r="G217" s="98" t="s">
        <v>178</v>
      </c>
      <c r="H217" s="56" t="s">
        <v>162</v>
      </c>
      <c r="I217" s="56" t="s">
        <v>67</v>
      </c>
      <c r="J217" s="56" t="s">
        <v>162</v>
      </c>
      <c r="K217" s="99">
        <f t="shared" ref="K217:K220" si="24">H217-J217</f>
        <v>0</v>
      </c>
      <c r="L217" s="41" t="s">
        <v>1163</v>
      </c>
      <c r="M217" s="57" t="s">
        <v>1165</v>
      </c>
      <c r="N217" s="17"/>
      <c r="O217" s="17"/>
      <c r="P217" s="20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ht="41.25" customHeight="1">
      <c r="A218" s="24" t="s">
        <v>778</v>
      </c>
      <c r="B218" s="25"/>
      <c r="C218" s="25">
        <v>385.0</v>
      </c>
      <c r="D218" s="25">
        <v>6.0</v>
      </c>
      <c r="E218" s="25">
        <v>2.0</v>
      </c>
      <c r="F218" s="30" t="s">
        <v>1185</v>
      </c>
      <c r="G218" s="53" t="s">
        <v>49</v>
      </c>
      <c r="H218" s="54">
        <v>2.0</v>
      </c>
      <c r="I218" s="54"/>
      <c r="J218" s="56" t="s">
        <v>67</v>
      </c>
      <c r="K218" s="41">
        <f t="shared" si="24"/>
        <v>2</v>
      </c>
      <c r="L218" s="41" t="s">
        <v>1163</v>
      </c>
      <c r="M218" s="57" t="s">
        <v>1165</v>
      </c>
      <c r="N218" s="17"/>
      <c r="O218" s="17"/>
      <c r="P218" s="20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ht="41.25" customHeight="1">
      <c r="A219" s="24" t="s">
        <v>784</v>
      </c>
      <c r="B219" s="25"/>
      <c r="C219" s="25">
        <v>389.0</v>
      </c>
      <c r="D219" s="25">
        <v>6.0</v>
      </c>
      <c r="E219" s="25">
        <v>1.0</v>
      </c>
      <c r="F219" s="30" t="s">
        <v>1186</v>
      </c>
      <c r="G219" s="53" t="s">
        <v>49</v>
      </c>
      <c r="H219" s="56" t="s">
        <v>56</v>
      </c>
      <c r="I219" s="56" t="s">
        <v>67</v>
      </c>
      <c r="J219" s="56" t="s">
        <v>67</v>
      </c>
      <c r="K219" s="41">
        <f t="shared" si="24"/>
        <v>2</v>
      </c>
      <c r="L219" s="41" t="s">
        <v>1163</v>
      </c>
      <c r="M219" s="57" t="s">
        <v>1165</v>
      </c>
      <c r="N219" s="17"/>
      <c r="O219" s="17"/>
      <c r="P219" s="20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ht="41.25" customHeight="1">
      <c r="A220" s="24" t="s">
        <v>790</v>
      </c>
      <c r="B220" s="25"/>
      <c r="C220" s="25">
        <v>400.0</v>
      </c>
      <c r="D220" s="25">
        <v>5.0</v>
      </c>
      <c r="E220" s="25">
        <v>2.0</v>
      </c>
      <c r="F220" s="30" t="s">
        <v>1187</v>
      </c>
      <c r="G220" s="53" t="s">
        <v>49</v>
      </c>
      <c r="H220" s="54">
        <v>2.0</v>
      </c>
      <c r="I220" s="56" t="s">
        <v>67</v>
      </c>
      <c r="J220" s="56" t="s">
        <v>67</v>
      </c>
      <c r="K220" s="41">
        <f t="shared" si="24"/>
        <v>2</v>
      </c>
      <c r="L220" s="41" t="s">
        <v>1163</v>
      </c>
      <c r="M220" s="57" t="s">
        <v>1165</v>
      </c>
      <c r="N220" s="17"/>
      <c r="O220" s="17"/>
      <c r="P220" s="20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ht="41.25" customHeight="1">
      <c r="A221" s="59" t="s">
        <v>798</v>
      </c>
      <c r="B221" s="25"/>
      <c r="C221" s="25">
        <v>401.0</v>
      </c>
      <c r="D221" s="25">
        <v>4.0</v>
      </c>
      <c r="E221" s="25">
        <v>1.0</v>
      </c>
      <c r="F221" s="30" t="s">
        <v>1188</v>
      </c>
      <c r="G221" s="98" t="s">
        <v>49</v>
      </c>
      <c r="H221" s="56" t="s">
        <v>67</v>
      </c>
      <c r="I221" s="146">
        <v>1.0</v>
      </c>
      <c r="J221" s="56" t="s">
        <v>162</v>
      </c>
      <c r="K221" s="99"/>
      <c r="L221" s="41" t="s">
        <v>1163</v>
      </c>
      <c r="M221" s="57" t="s">
        <v>1165</v>
      </c>
      <c r="N221" s="17"/>
      <c r="O221" s="17"/>
      <c r="P221" s="20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ht="41.25" customHeight="1">
      <c r="A222" s="59" t="s">
        <v>809</v>
      </c>
      <c r="B222" s="25"/>
      <c r="C222" s="25">
        <v>403.0</v>
      </c>
      <c r="D222" s="25">
        <v>3.0</v>
      </c>
      <c r="E222" s="25">
        <v>1.0</v>
      </c>
      <c r="F222" s="30" t="s">
        <v>1189</v>
      </c>
      <c r="G222" s="98" t="s">
        <v>49</v>
      </c>
      <c r="H222" s="56" t="s">
        <v>67</v>
      </c>
      <c r="I222" s="54">
        <v>1.0</v>
      </c>
      <c r="J222" s="56" t="s">
        <v>67</v>
      </c>
      <c r="K222" s="99"/>
      <c r="L222" s="41" t="s">
        <v>1163</v>
      </c>
      <c r="M222" s="60" t="s">
        <v>1190</v>
      </c>
      <c r="N222" s="17"/>
      <c r="O222" s="17"/>
      <c r="P222" s="20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ht="41.25" customHeight="1">
      <c r="A223" s="24" t="s">
        <v>815</v>
      </c>
      <c r="B223" s="25"/>
      <c r="C223" s="25">
        <v>415.0</v>
      </c>
      <c r="D223" s="25">
        <v>11.0</v>
      </c>
      <c r="E223" s="25">
        <v>2.0</v>
      </c>
      <c r="F223" s="30" t="s">
        <v>1191</v>
      </c>
      <c r="G223" s="53" t="s">
        <v>49</v>
      </c>
      <c r="H223" s="56" t="s">
        <v>162</v>
      </c>
      <c r="I223" s="56" t="s">
        <v>56</v>
      </c>
      <c r="J223" s="56" t="s">
        <v>67</v>
      </c>
      <c r="K223" s="41">
        <f>H223-J223</f>
        <v>1</v>
      </c>
      <c r="L223" s="41" t="s">
        <v>1163</v>
      </c>
      <c r="M223" s="57" t="s">
        <v>1165</v>
      </c>
      <c r="N223" s="17"/>
      <c r="O223" s="17"/>
      <c r="P223" s="20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ht="15.75" customHeight="1">
      <c r="A224" s="10"/>
      <c r="B224" s="22"/>
      <c r="C224" s="22"/>
      <c r="D224" s="22"/>
      <c r="E224" s="22"/>
      <c r="F224" s="147"/>
      <c r="G224" s="148"/>
      <c r="H224" s="149"/>
      <c r="I224" s="150"/>
      <c r="J224" s="149"/>
      <c r="K224" s="149"/>
      <c r="L224" s="149"/>
      <c r="M224" s="149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ht="15.75" customHeight="1">
      <c r="A225" s="10"/>
      <c r="B225" s="22"/>
      <c r="C225" s="22"/>
      <c r="D225" s="22"/>
      <c r="E225" s="22"/>
      <c r="F225" s="147"/>
      <c r="G225" s="148"/>
      <c r="H225" s="149"/>
      <c r="I225" s="150"/>
      <c r="J225" s="149"/>
      <c r="K225" s="149"/>
      <c r="L225" s="149"/>
      <c r="M225" s="149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ht="15.75" customHeight="1">
      <c r="A226" s="10"/>
      <c r="B226" s="22"/>
      <c r="C226" s="22"/>
      <c r="D226" s="22"/>
      <c r="E226" s="22"/>
      <c r="F226" s="147"/>
      <c r="G226" s="148"/>
      <c r="H226" s="149"/>
      <c r="I226" s="150"/>
      <c r="J226" s="149"/>
      <c r="K226" s="149"/>
      <c r="L226" s="149"/>
      <c r="M226" s="149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 ht="15.75" customHeight="1">
      <c r="A227" s="10"/>
      <c r="B227" s="22"/>
      <c r="C227" s="22"/>
      <c r="D227" s="22"/>
      <c r="E227" s="22"/>
      <c r="F227" s="147"/>
      <c r="G227" s="148"/>
      <c r="H227" s="149"/>
      <c r="I227" s="150"/>
      <c r="J227" s="149"/>
      <c r="K227" s="149"/>
      <c r="L227" s="149"/>
      <c r="M227" s="149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ht="15.75" customHeight="1">
      <c r="A228" s="10"/>
      <c r="B228" s="22"/>
      <c r="C228" s="22"/>
      <c r="D228" s="22"/>
      <c r="E228" s="22"/>
      <c r="F228" s="147"/>
      <c r="G228" s="148"/>
      <c r="H228" s="149"/>
      <c r="I228" s="150"/>
      <c r="J228" s="149"/>
      <c r="K228" s="149"/>
      <c r="L228" s="149"/>
      <c r="M228" s="149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ht="15.75" customHeight="1">
      <c r="A229" s="10"/>
      <c r="B229" s="22"/>
      <c r="C229" s="22"/>
      <c r="D229" s="22"/>
      <c r="E229" s="22"/>
      <c r="F229" s="147"/>
      <c r="G229" s="148"/>
      <c r="H229" s="149"/>
      <c r="I229" s="150"/>
      <c r="J229" s="149"/>
      <c r="K229" s="149"/>
      <c r="L229" s="149"/>
      <c r="M229" s="149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ht="15.75" customHeight="1">
      <c r="A230" s="10"/>
      <c r="B230" s="22"/>
      <c r="C230" s="22"/>
      <c r="D230" s="22"/>
      <c r="E230" s="22"/>
      <c r="F230" s="147"/>
      <c r="G230" s="148"/>
      <c r="H230" s="149"/>
      <c r="I230" s="150"/>
      <c r="J230" s="149"/>
      <c r="K230" s="149"/>
      <c r="L230" s="149"/>
      <c r="M230" s="149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ht="15.75" customHeight="1">
      <c r="A231" s="10"/>
      <c r="B231" s="22"/>
      <c r="C231" s="22"/>
      <c r="D231" s="22"/>
      <c r="E231" s="22"/>
      <c r="F231" s="147"/>
      <c r="G231" s="148"/>
      <c r="H231" s="149"/>
      <c r="I231" s="150"/>
      <c r="J231" s="149"/>
      <c r="K231" s="149"/>
      <c r="L231" s="149"/>
      <c r="M231" s="149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ht="15.75" customHeight="1">
      <c r="A232" s="10"/>
      <c r="B232" s="22"/>
      <c r="C232" s="22"/>
      <c r="D232" s="22"/>
      <c r="E232" s="22"/>
      <c r="F232" s="147"/>
      <c r="G232" s="148"/>
      <c r="H232" s="149"/>
      <c r="I232" s="150"/>
      <c r="J232" s="149"/>
      <c r="K232" s="149"/>
      <c r="L232" s="149"/>
      <c r="M232" s="149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ht="15.75" customHeight="1">
      <c r="A233" s="10"/>
      <c r="B233" s="22"/>
      <c r="C233" s="22"/>
      <c r="D233" s="22"/>
      <c r="E233" s="22"/>
      <c r="F233" s="147"/>
      <c r="G233" s="148"/>
      <c r="H233" s="149"/>
      <c r="I233" s="150"/>
      <c r="J233" s="149"/>
      <c r="K233" s="149"/>
      <c r="L233" s="149"/>
      <c r="M233" s="149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ht="15.75" customHeight="1">
      <c r="A234" s="10"/>
      <c r="B234" s="22"/>
      <c r="C234" s="22"/>
      <c r="D234" s="22"/>
      <c r="E234" s="22"/>
      <c r="F234" s="147"/>
      <c r="G234" s="148"/>
      <c r="H234" s="149"/>
      <c r="I234" s="150"/>
      <c r="J234" s="149"/>
      <c r="K234" s="149"/>
      <c r="L234" s="149"/>
      <c r="M234" s="149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ht="15.75" customHeight="1">
      <c r="A235" s="10"/>
      <c r="B235" s="22"/>
      <c r="C235" s="22"/>
      <c r="D235" s="22"/>
      <c r="E235" s="22"/>
      <c r="F235" s="147"/>
      <c r="G235" s="148"/>
      <c r="H235" s="149"/>
      <c r="I235" s="150"/>
      <c r="J235" s="149"/>
      <c r="K235" s="149"/>
      <c r="L235" s="149"/>
      <c r="M235" s="149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ht="15.75" customHeight="1">
      <c r="A236" s="10"/>
      <c r="B236" s="22"/>
      <c r="C236" s="22"/>
      <c r="D236" s="22"/>
      <c r="E236" s="22"/>
      <c r="F236" s="147"/>
      <c r="G236" s="148"/>
      <c r="H236" s="149"/>
      <c r="I236" s="150"/>
      <c r="J236" s="149"/>
      <c r="K236" s="149"/>
      <c r="L236" s="149"/>
      <c r="M236" s="149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ht="15.75" customHeight="1">
      <c r="A237" s="10"/>
      <c r="B237" s="22"/>
      <c r="C237" s="22"/>
      <c r="D237" s="22"/>
      <c r="E237" s="22"/>
      <c r="F237" s="147"/>
      <c r="G237" s="148"/>
      <c r="H237" s="149"/>
      <c r="I237" s="150"/>
      <c r="J237" s="149"/>
      <c r="K237" s="149"/>
      <c r="L237" s="149"/>
      <c r="M237" s="149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ht="15.75" customHeight="1">
      <c r="A238" s="10"/>
      <c r="B238" s="22"/>
      <c r="C238" s="22"/>
      <c r="D238" s="22"/>
      <c r="E238" s="22"/>
      <c r="F238" s="147"/>
      <c r="G238" s="148"/>
      <c r="H238" s="149"/>
      <c r="I238" s="150"/>
      <c r="J238" s="149"/>
      <c r="K238" s="149"/>
      <c r="L238" s="149"/>
      <c r="M238" s="149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ht="15.75" customHeight="1">
      <c r="A239" s="10"/>
      <c r="B239" s="22"/>
      <c r="C239" s="22"/>
      <c r="D239" s="22"/>
      <c r="E239" s="22"/>
      <c r="F239" s="147"/>
      <c r="G239" s="148"/>
      <c r="H239" s="149"/>
      <c r="I239" s="150"/>
      <c r="J239" s="149"/>
      <c r="K239" s="149"/>
      <c r="L239" s="149"/>
      <c r="M239" s="149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ht="15.75" customHeight="1">
      <c r="A240" s="10"/>
      <c r="B240" s="22"/>
      <c r="C240" s="22"/>
      <c r="D240" s="22"/>
      <c r="E240" s="22"/>
      <c r="F240" s="147"/>
      <c r="G240" s="148"/>
      <c r="H240" s="149"/>
      <c r="I240" s="150"/>
      <c r="J240" s="149"/>
      <c r="K240" s="149"/>
      <c r="L240" s="149"/>
      <c r="M240" s="149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ht="15.75" customHeight="1">
      <c r="A241" s="10"/>
      <c r="B241" s="22"/>
      <c r="C241" s="22"/>
      <c r="D241" s="22"/>
      <c r="E241" s="22"/>
      <c r="F241" s="147"/>
      <c r="G241" s="148"/>
      <c r="H241" s="149"/>
      <c r="I241" s="150"/>
      <c r="J241" s="149"/>
      <c r="K241" s="149"/>
      <c r="L241" s="149"/>
      <c r="M241" s="149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ht="15.75" customHeight="1">
      <c r="A242" s="10"/>
      <c r="B242" s="22"/>
      <c r="C242" s="22"/>
      <c r="D242" s="22"/>
      <c r="E242" s="22"/>
      <c r="F242" s="147"/>
      <c r="G242" s="148"/>
      <c r="H242" s="149"/>
      <c r="I242" s="150"/>
      <c r="J242" s="149"/>
      <c r="K242" s="149"/>
      <c r="L242" s="149"/>
      <c r="M242" s="149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ht="15.75" customHeight="1">
      <c r="A243" s="10"/>
      <c r="B243" s="22"/>
      <c r="C243" s="22"/>
      <c r="D243" s="22"/>
      <c r="E243" s="22"/>
      <c r="F243" s="147"/>
      <c r="G243" s="148"/>
      <c r="H243" s="149"/>
      <c r="I243" s="150"/>
      <c r="J243" s="149"/>
      <c r="K243" s="149"/>
      <c r="L243" s="149"/>
      <c r="M243" s="149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ht="15.75" customHeight="1">
      <c r="A244" s="10"/>
      <c r="B244" s="22"/>
      <c r="C244" s="22"/>
      <c r="D244" s="22"/>
      <c r="E244" s="22"/>
      <c r="F244" s="147"/>
      <c r="G244" s="148"/>
      <c r="H244" s="149"/>
      <c r="I244" s="150"/>
      <c r="J244" s="149"/>
      <c r="K244" s="149"/>
      <c r="L244" s="149"/>
      <c r="M244" s="149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ht="15.75" customHeight="1">
      <c r="A245" s="10"/>
      <c r="B245" s="22"/>
      <c r="C245" s="22"/>
      <c r="D245" s="22"/>
      <c r="E245" s="22"/>
      <c r="F245" s="147"/>
      <c r="G245" s="148"/>
      <c r="H245" s="149"/>
      <c r="I245" s="150"/>
      <c r="J245" s="149"/>
      <c r="K245" s="149"/>
      <c r="L245" s="149"/>
      <c r="M245" s="149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ht="15.75" customHeight="1">
      <c r="A246" s="10"/>
      <c r="B246" s="22"/>
      <c r="C246" s="22"/>
      <c r="D246" s="22"/>
      <c r="E246" s="22"/>
      <c r="F246" s="147"/>
      <c r="G246" s="148"/>
      <c r="H246" s="149"/>
      <c r="I246" s="150"/>
      <c r="J246" s="149"/>
      <c r="K246" s="149"/>
      <c r="L246" s="149"/>
      <c r="M246" s="149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ht="15.75" customHeight="1">
      <c r="A247" s="10"/>
      <c r="B247" s="22"/>
      <c r="C247" s="22"/>
      <c r="D247" s="22"/>
      <c r="E247" s="22"/>
      <c r="F247" s="147"/>
      <c r="G247" s="148"/>
      <c r="H247" s="149"/>
      <c r="I247" s="150"/>
      <c r="J247" s="149"/>
      <c r="K247" s="149"/>
      <c r="L247" s="149"/>
      <c r="M247" s="149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ht="15.75" customHeight="1">
      <c r="A248" s="10"/>
      <c r="B248" s="22"/>
      <c r="C248" s="22"/>
      <c r="D248" s="22"/>
      <c r="E248" s="22"/>
      <c r="F248" s="147"/>
      <c r="G248" s="148"/>
      <c r="H248" s="149"/>
      <c r="I248" s="150"/>
      <c r="J248" s="149"/>
      <c r="K248" s="149"/>
      <c r="L248" s="149"/>
      <c r="M248" s="149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ht="15.75" customHeight="1">
      <c r="A249" s="10"/>
      <c r="B249" s="22"/>
      <c r="C249" s="22"/>
      <c r="D249" s="22"/>
      <c r="E249" s="22"/>
      <c r="F249" s="147"/>
      <c r="G249" s="148"/>
      <c r="H249" s="149"/>
      <c r="I249" s="150"/>
      <c r="J249" s="149"/>
      <c r="K249" s="149"/>
      <c r="L249" s="149"/>
      <c r="M249" s="149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ht="15.75" customHeight="1">
      <c r="A250" s="10"/>
      <c r="B250" s="22"/>
      <c r="C250" s="22"/>
      <c r="D250" s="22"/>
      <c r="E250" s="22"/>
      <c r="F250" s="147"/>
      <c r="G250" s="148"/>
      <c r="H250" s="149"/>
      <c r="I250" s="150"/>
      <c r="J250" s="149"/>
      <c r="K250" s="149"/>
      <c r="L250" s="149"/>
      <c r="M250" s="149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ht="15.75" customHeight="1">
      <c r="A251" s="10"/>
      <c r="B251" s="22"/>
      <c r="C251" s="22"/>
      <c r="D251" s="22"/>
      <c r="E251" s="22"/>
      <c r="F251" s="147"/>
      <c r="G251" s="148"/>
      <c r="H251" s="149"/>
      <c r="I251" s="150"/>
      <c r="J251" s="149"/>
      <c r="K251" s="149"/>
      <c r="L251" s="149"/>
      <c r="M251" s="149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ht="15.75" customHeight="1">
      <c r="A252" s="10"/>
      <c r="B252" s="22"/>
      <c r="C252" s="22"/>
      <c r="D252" s="22"/>
      <c r="E252" s="22"/>
      <c r="F252" s="147"/>
      <c r="G252" s="148"/>
      <c r="H252" s="149"/>
      <c r="I252" s="150"/>
      <c r="J252" s="149"/>
      <c r="K252" s="149"/>
      <c r="L252" s="149"/>
      <c r="M252" s="149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ht="15.75" customHeight="1">
      <c r="A253" s="10"/>
      <c r="B253" s="22"/>
      <c r="C253" s="22"/>
      <c r="D253" s="22"/>
      <c r="E253" s="22"/>
      <c r="F253" s="147"/>
      <c r="G253" s="148"/>
      <c r="H253" s="149"/>
      <c r="I253" s="150"/>
      <c r="J253" s="149"/>
      <c r="K253" s="149"/>
      <c r="L253" s="149"/>
      <c r="M253" s="149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ht="15.75" customHeight="1">
      <c r="A254" s="10"/>
      <c r="B254" s="22"/>
      <c r="C254" s="22"/>
      <c r="D254" s="22"/>
      <c r="E254" s="22"/>
      <c r="F254" s="147"/>
      <c r="G254" s="148"/>
      <c r="H254" s="149"/>
      <c r="I254" s="150"/>
      <c r="J254" s="149"/>
      <c r="K254" s="149"/>
      <c r="L254" s="149"/>
      <c r="M254" s="149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ht="15.75" customHeight="1">
      <c r="A255" s="10"/>
      <c r="B255" s="22"/>
      <c r="C255" s="22"/>
      <c r="D255" s="22"/>
      <c r="E255" s="22"/>
      <c r="F255" s="147"/>
      <c r="G255" s="148"/>
      <c r="H255" s="149"/>
      <c r="I255" s="150"/>
      <c r="J255" s="149"/>
      <c r="K255" s="149"/>
      <c r="L255" s="149"/>
      <c r="M255" s="149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ht="15.75" customHeight="1">
      <c r="A256" s="10"/>
      <c r="B256" s="22"/>
      <c r="C256" s="22"/>
      <c r="D256" s="22"/>
      <c r="E256" s="22"/>
      <c r="F256" s="147"/>
      <c r="G256" s="148"/>
      <c r="H256" s="149"/>
      <c r="I256" s="150"/>
      <c r="J256" s="149"/>
      <c r="K256" s="149"/>
      <c r="L256" s="149"/>
      <c r="M256" s="149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ht="15.75" customHeight="1">
      <c r="A257" s="10"/>
      <c r="B257" s="22"/>
      <c r="C257" s="22"/>
      <c r="D257" s="22"/>
      <c r="E257" s="22"/>
      <c r="F257" s="147"/>
      <c r="G257" s="148"/>
      <c r="H257" s="149"/>
      <c r="I257" s="150"/>
      <c r="J257" s="149"/>
      <c r="K257" s="149"/>
      <c r="L257" s="149"/>
      <c r="M257" s="149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ht="15.75" customHeight="1">
      <c r="A258" s="10"/>
      <c r="B258" s="22"/>
      <c r="C258" s="22"/>
      <c r="D258" s="22"/>
      <c r="E258" s="22"/>
      <c r="F258" s="147"/>
      <c r="G258" s="148"/>
      <c r="H258" s="149"/>
      <c r="I258" s="150"/>
      <c r="J258" s="149"/>
      <c r="K258" s="149"/>
      <c r="L258" s="149"/>
      <c r="M258" s="149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ht="15.75" customHeight="1">
      <c r="A259" s="10"/>
      <c r="B259" s="22"/>
      <c r="C259" s="22"/>
      <c r="D259" s="22"/>
      <c r="E259" s="22"/>
      <c r="F259" s="147"/>
      <c r="G259" s="148"/>
      <c r="H259" s="149"/>
      <c r="I259" s="150"/>
      <c r="J259" s="149"/>
      <c r="K259" s="149"/>
      <c r="L259" s="149"/>
      <c r="M259" s="149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ht="15.75" customHeight="1">
      <c r="A260" s="10"/>
      <c r="B260" s="22"/>
      <c r="C260" s="22"/>
      <c r="D260" s="22"/>
      <c r="E260" s="22"/>
      <c r="F260" s="147"/>
      <c r="G260" s="148"/>
      <c r="H260" s="149"/>
      <c r="I260" s="150"/>
      <c r="J260" s="149"/>
      <c r="K260" s="149"/>
      <c r="L260" s="149"/>
      <c r="M260" s="149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ht="15.75" customHeight="1">
      <c r="A261" s="10"/>
      <c r="B261" s="22"/>
      <c r="C261" s="22"/>
      <c r="D261" s="22"/>
      <c r="E261" s="22"/>
      <c r="F261" s="147"/>
      <c r="G261" s="148"/>
      <c r="H261" s="149"/>
      <c r="I261" s="150"/>
      <c r="J261" s="149"/>
      <c r="K261" s="149"/>
      <c r="L261" s="149"/>
      <c r="M261" s="149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ht="15.75" customHeight="1">
      <c r="A262" s="10"/>
      <c r="B262" s="22"/>
      <c r="C262" s="22"/>
      <c r="D262" s="22"/>
      <c r="E262" s="22"/>
      <c r="F262" s="147"/>
      <c r="G262" s="148"/>
      <c r="H262" s="149"/>
      <c r="I262" s="150"/>
      <c r="J262" s="149"/>
      <c r="K262" s="149"/>
      <c r="L262" s="149"/>
      <c r="M262" s="149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ht="15.75" customHeight="1">
      <c r="A263" s="10"/>
      <c r="B263" s="22"/>
      <c r="C263" s="22"/>
      <c r="D263" s="22"/>
      <c r="E263" s="22"/>
      <c r="F263" s="147"/>
      <c r="G263" s="148"/>
      <c r="H263" s="149"/>
      <c r="I263" s="150"/>
      <c r="J263" s="149"/>
      <c r="K263" s="149"/>
      <c r="L263" s="149"/>
      <c r="M263" s="149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ht="15.75" customHeight="1">
      <c r="A264" s="10"/>
      <c r="B264" s="22"/>
      <c r="C264" s="22"/>
      <c r="D264" s="22"/>
      <c r="E264" s="22"/>
      <c r="F264" s="147"/>
      <c r="G264" s="148"/>
      <c r="H264" s="149"/>
      <c r="I264" s="150"/>
      <c r="J264" s="149"/>
      <c r="K264" s="149"/>
      <c r="L264" s="149"/>
      <c r="M264" s="149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ht="15.75" customHeight="1">
      <c r="A265" s="10"/>
      <c r="B265" s="22"/>
      <c r="C265" s="22"/>
      <c r="D265" s="22"/>
      <c r="E265" s="22"/>
      <c r="F265" s="147"/>
      <c r="G265" s="148"/>
      <c r="H265" s="149"/>
      <c r="I265" s="150"/>
      <c r="J265" s="149"/>
      <c r="K265" s="149"/>
      <c r="L265" s="149"/>
      <c r="M265" s="149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ht="15.75" customHeight="1">
      <c r="A266" s="10"/>
      <c r="B266" s="22"/>
      <c r="C266" s="22"/>
      <c r="D266" s="22"/>
      <c r="E266" s="22"/>
      <c r="F266" s="147"/>
      <c r="G266" s="148"/>
      <c r="H266" s="149"/>
      <c r="I266" s="150"/>
      <c r="J266" s="149"/>
      <c r="K266" s="149"/>
      <c r="L266" s="149"/>
      <c r="M266" s="149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ht="15.75" customHeight="1">
      <c r="A267" s="10"/>
      <c r="B267" s="22"/>
      <c r="C267" s="22"/>
      <c r="D267" s="22"/>
      <c r="E267" s="22"/>
      <c r="F267" s="147"/>
      <c r="G267" s="148"/>
      <c r="H267" s="149"/>
      <c r="I267" s="150"/>
      <c r="J267" s="149"/>
      <c r="K267" s="149"/>
      <c r="L267" s="149"/>
      <c r="M267" s="149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ht="15.75" customHeight="1">
      <c r="A268" s="10"/>
      <c r="B268" s="22"/>
      <c r="C268" s="22"/>
      <c r="D268" s="22"/>
      <c r="E268" s="22"/>
      <c r="F268" s="147"/>
      <c r="G268" s="148"/>
      <c r="H268" s="149"/>
      <c r="I268" s="150"/>
      <c r="J268" s="149"/>
      <c r="K268" s="149"/>
      <c r="L268" s="149"/>
      <c r="M268" s="149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ht="15.75" customHeight="1">
      <c r="A269" s="10"/>
      <c r="B269" s="22"/>
      <c r="C269" s="22"/>
      <c r="D269" s="22"/>
      <c r="E269" s="22"/>
      <c r="F269" s="147"/>
      <c r="G269" s="148"/>
      <c r="H269" s="149"/>
      <c r="I269" s="150"/>
      <c r="J269" s="149"/>
      <c r="K269" s="149"/>
      <c r="L269" s="149"/>
      <c r="M269" s="149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ht="15.75" customHeight="1">
      <c r="A270" s="10"/>
      <c r="B270" s="22"/>
      <c r="C270" s="22"/>
      <c r="D270" s="22"/>
      <c r="E270" s="22"/>
      <c r="F270" s="147"/>
      <c r="G270" s="148"/>
      <c r="H270" s="149"/>
      <c r="I270" s="150"/>
      <c r="J270" s="149"/>
      <c r="K270" s="149"/>
      <c r="L270" s="149"/>
      <c r="M270" s="149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ht="15.75" customHeight="1">
      <c r="A271" s="10"/>
      <c r="B271" s="22"/>
      <c r="C271" s="22"/>
      <c r="D271" s="22"/>
      <c r="E271" s="22"/>
      <c r="F271" s="147"/>
      <c r="G271" s="148"/>
      <c r="H271" s="149"/>
      <c r="I271" s="150"/>
      <c r="J271" s="149"/>
      <c r="K271" s="149"/>
      <c r="L271" s="149"/>
      <c r="M271" s="149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ht="15.75" customHeight="1">
      <c r="A272" s="10"/>
      <c r="B272" s="22"/>
      <c r="C272" s="22"/>
      <c r="D272" s="22"/>
      <c r="E272" s="22"/>
      <c r="F272" s="147"/>
      <c r="G272" s="148"/>
      <c r="H272" s="149"/>
      <c r="I272" s="150"/>
      <c r="J272" s="149"/>
      <c r="K272" s="149"/>
      <c r="L272" s="149"/>
      <c r="M272" s="149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ht="15.75" customHeight="1">
      <c r="A273" s="10"/>
      <c r="B273" s="22"/>
      <c r="C273" s="22"/>
      <c r="D273" s="22"/>
      <c r="E273" s="22"/>
      <c r="F273" s="147"/>
      <c r="G273" s="148"/>
      <c r="H273" s="149"/>
      <c r="I273" s="150"/>
      <c r="J273" s="149"/>
      <c r="K273" s="149"/>
      <c r="L273" s="149"/>
      <c r="M273" s="149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ht="15.75" customHeight="1">
      <c r="A274" s="10"/>
      <c r="B274" s="22"/>
      <c r="C274" s="22"/>
      <c r="D274" s="22"/>
      <c r="E274" s="22"/>
      <c r="F274" s="147"/>
      <c r="G274" s="148"/>
      <c r="H274" s="149"/>
      <c r="I274" s="150"/>
      <c r="J274" s="149"/>
      <c r="K274" s="149"/>
      <c r="L274" s="149"/>
      <c r="M274" s="149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ht="15.75" customHeight="1">
      <c r="A275" s="10"/>
      <c r="B275" s="22"/>
      <c r="C275" s="22"/>
      <c r="D275" s="22"/>
      <c r="E275" s="22"/>
      <c r="F275" s="147"/>
      <c r="G275" s="148"/>
      <c r="H275" s="149"/>
      <c r="I275" s="150"/>
      <c r="J275" s="149"/>
      <c r="K275" s="149"/>
      <c r="L275" s="149"/>
      <c r="M275" s="149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ht="15.75" customHeight="1">
      <c r="A276" s="10"/>
      <c r="B276" s="22"/>
      <c r="C276" s="22"/>
      <c r="D276" s="22"/>
      <c r="E276" s="22"/>
      <c r="F276" s="147"/>
      <c r="G276" s="148"/>
      <c r="H276" s="149"/>
      <c r="I276" s="150"/>
      <c r="J276" s="149"/>
      <c r="K276" s="149"/>
      <c r="L276" s="149"/>
      <c r="M276" s="149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ht="15.75" customHeight="1">
      <c r="A277" s="10"/>
      <c r="B277" s="22"/>
      <c r="C277" s="22"/>
      <c r="D277" s="22"/>
      <c r="E277" s="22"/>
      <c r="F277" s="147"/>
      <c r="G277" s="148"/>
      <c r="H277" s="149"/>
      <c r="I277" s="150"/>
      <c r="J277" s="149"/>
      <c r="K277" s="149"/>
      <c r="L277" s="149"/>
      <c r="M277" s="149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ht="15.75" customHeight="1">
      <c r="A278" s="10"/>
      <c r="B278" s="22"/>
      <c r="C278" s="22"/>
      <c r="D278" s="22"/>
      <c r="E278" s="22"/>
      <c r="F278" s="147"/>
      <c r="G278" s="148"/>
      <c r="H278" s="149"/>
      <c r="I278" s="150"/>
      <c r="J278" s="149"/>
      <c r="K278" s="149"/>
      <c r="L278" s="149"/>
      <c r="M278" s="149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ht="15.75" customHeight="1">
      <c r="A279" s="10"/>
      <c r="B279" s="22"/>
      <c r="C279" s="22"/>
      <c r="D279" s="22"/>
      <c r="E279" s="22"/>
      <c r="F279" s="147"/>
      <c r="G279" s="148"/>
      <c r="H279" s="149"/>
      <c r="I279" s="150"/>
      <c r="J279" s="149"/>
      <c r="K279" s="149"/>
      <c r="L279" s="149"/>
      <c r="M279" s="149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ht="15.75" customHeight="1">
      <c r="A280" s="10"/>
      <c r="B280" s="22"/>
      <c r="C280" s="22"/>
      <c r="D280" s="22"/>
      <c r="E280" s="22"/>
      <c r="F280" s="147"/>
      <c r="G280" s="148"/>
      <c r="H280" s="149"/>
      <c r="I280" s="150"/>
      <c r="J280" s="149"/>
      <c r="K280" s="149"/>
      <c r="L280" s="149"/>
      <c r="M280" s="149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ht="15.75" customHeight="1">
      <c r="A281" s="10"/>
      <c r="B281" s="22"/>
      <c r="C281" s="22"/>
      <c r="D281" s="22"/>
      <c r="E281" s="22"/>
      <c r="F281" s="147"/>
      <c r="G281" s="148"/>
      <c r="H281" s="149"/>
      <c r="I281" s="150"/>
      <c r="J281" s="149"/>
      <c r="K281" s="149"/>
      <c r="L281" s="149"/>
      <c r="M281" s="149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ht="15.75" customHeight="1">
      <c r="A282" s="10"/>
      <c r="B282" s="22"/>
      <c r="C282" s="22"/>
      <c r="D282" s="22"/>
      <c r="E282" s="22"/>
      <c r="F282" s="147"/>
      <c r="G282" s="148"/>
      <c r="H282" s="149"/>
      <c r="I282" s="150"/>
      <c r="J282" s="149"/>
      <c r="K282" s="149"/>
      <c r="L282" s="149"/>
      <c r="M282" s="149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ht="15.75" customHeight="1">
      <c r="A283" s="10"/>
      <c r="B283" s="22"/>
      <c r="C283" s="22"/>
      <c r="D283" s="22"/>
      <c r="E283" s="22"/>
      <c r="F283" s="147"/>
      <c r="G283" s="148"/>
      <c r="H283" s="149"/>
      <c r="I283" s="150"/>
      <c r="J283" s="149"/>
      <c r="K283" s="149"/>
      <c r="L283" s="149"/>
      <c r="M283" s="149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ht="15.75" customHeight="1">
      <c r="A284" s="10"/>
      <c r="B284" s="22"/>
      <c r="C284" s="22"/>
      <c r="D284" s="22"/>
      <c r="E284" s="22"/>
      <c r="F284" s="147"/>
      <c r="G284" s="148"/>
      <c r="H284" s="149"/>
      <c r="I284" s="150"/>
      <c r="J284" s="149"/>
      <c r="K284" s="149"/>
      <c r="L284" s="149"/>
      <c r="M284" s="149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ht="15.75" customHeight="1">
      <c r="A285" s="10"/>
      <c r="B285" s="22"/>
      <c r="C285" s="22"/>
      <c r="D285" s="22"/>
      <c r="E285" s="22"/>
      <c r="F285" s="147"/>
      <c r="G285" s="148"/>
      <c r="H285" s="149"/>
      <c r="I285" s="150"/>
      <c r="J285" s="149"/>
      <c r="K285" s="149"/>
      <c r="L285" s="149"/>
      <c r="M285" s="149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ht="15.75" customHeight="1">
      <c r="A286" s="10"/>
      <c r="B286" s="22"/>
      <c r="C286" s="22"/>
      <c r="D286" s="22"/>
      <c r="E286" s="22"/>
      <c r="F286" s="147"/>
      <c r="G286" s="148"/>
      <c r="H286" s="149"/>
      <c r="I286" s="150"/>
      <c r="J286" s="149"/>
      <c r="K286" s="149"/>
      <c r="L286" s="149"/>
      <c r="M286" s="149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ht="15.75" customHeight="1">
      <c r="A287" s="10"/>
      <c r="B287" s="22"/>
      <c r="C287" s="22"/>
      <c r="D287" s="22"/>
      <c r="E287" s="22"/>
      <c r="F287" s="147"/>
      <c r="G287" s="148"/>
      <c r="H287" s="149"/>
      <c r="I287" s="150"/>
      <c r="J287" s="149"/>
      <c r="K287" s="149"/>
      <c r="L287" s="149"/>
      <c r="M287" s="149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ht="15.75" customHeight="1">
      <c r="A288" s="10"/>
      <c r="B288" s="22"/>
      <c r="C288" s="22"/>
      <c r="D288" s="22"/>
      <c r="E288" s="22"/>
      <c r="F288" s="147"/>
      <c r="G288" s="148"/>
      <c r="H288" s="149"/>
      <c r="I288" s="150"/>
      <c r="J288" s="149"/>
      <c r="K288" s="149"/>
      <c r="L288" s="149"/>
      <c r="M288" s="149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ht="15.75" customHeight="1">
      <c r="A289" s="10"/>
      <c r="B289" s="22"/>
      <c r="C289" s="22"/>
      <c r="D289" s="22"/>
      <c r="E289" s="22"/>
      <c r="F289" s="147"/>
      <c r="G289" s="148"/>
      <c r="H289" s="149"/>
      <c r="I289" s="150"/>
      <c r="J289" s="149"/>
      <c r="K289" s="149"/>
      <c r="L289" s="149"/>
      <c r="M289" s="149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ht="15.75" customHeight="1">
      <c r="A290" s="10"/>
      <c r="B290" s="22"/>
      <c r="C290" s="22"/>
      <c r="D290" s="22"/>
      <c r="E290" s="22"/>
      <c r="F290" s="147"/>
      <c r="G290" s="148"/>
      <c r="H290" s="149"/>
      <c r="I290" s="150"/>
      <c r="J290" s="149"/>
      <c r="K290" s="149"/>
      <c r="L290" s="149"/>
      <c r="M290" s="149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ht="15.75" customHeight="1">
      <c r="A291" s="10"/>
      <c r="B291" s="22"/>
      <c r="C291" s="22"/>
      <c r="D291" s="22"/>
      <c r="E291" s="22"/>
      <c r="F291" s="147"/>
      <c r="G291" s="148"/>
      <c r="H291" s="149"/>
      <c r="I291" s="150"/>
      <c r="J291" s="149"/>
      <c r="K291" s="149"/>
      <c r="L291" s="149"/>
      <c r="M291" s="149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ht="15.75" customHeight="1">
      <c r="A292" s="10"/>
      <c r="B292" s="22"/>
      <c r="C292" s="22"/>
      <c r="D292" s="22"/>
      <c r="E292" s="22"/>
      <c r="F292" s="147"/>
      <c r="G292" s="148"/>
      <c r="H292" s="149"/>
      <c r="I292" s="150"/>
      <c r="J292" s="149"/>
      <c r="K292" s="149"/>
      <c r="L292" s="149"/>
      <c r="M292" s="149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ht="15.75" customHeight="1">
      <c r="A293" s="10"/>
      <c r="B293" s="22"/>
      <c r="C293" s="22"/>
      <c r="D293" s="22"/>
      <c r="E293" s="22"/>
      <c r="F293" s="147"/>
      <c r="G293" s="148"/>
      <c r="H293" s="149"/>
      <c r="I293" s="150"/>
      <c r="J293" s="149"/>
      <c r="K293" s="149"/>
      <c r="L293" s="149"/>
      <c r="M293" s="149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ht="15.75" customHeight="1">
      <c r="A294" s="10"/>
      <c r="B294" s="22"/>
      <c r="C294" s="22"/>
      <c r="D294" s="22"/>
      <c r="E294" s="22"/>
      <c r="F294" s="147"/>
      <c r="G294" s="148"/>
      <c r="H294" s="149"/>
      <c r="I294" s="150"/>
      <c r="J294" s="149"/>
      <c r="K294" s="149"/>
      <c r="L294" s="149"/>
      <c r="M294" s="149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ht="15.75" customHeight="1">
      <c r="A295" s="10"/>
      <c r="B295" s="22"/>
      <c r="C295" s="22"/>
      <c r="D295" s="22"/>
      <c r="E295" s="22"/>
      <c r="F295" s="147"/>
      <c r="G295" s="148"/>
      <c r="H295" s="149"/>
      <c r="I295" s="150"/>
      <c r="J295" s="149"/>
      <c r="K295" s="149"/>
      <c r="L295" s="149"/>
      <c r="M295" s="149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ht="15.75" customHeight="1">
      <c r="A296" s="10"/>
      <c r="B296" s="22"/>
      <c r="C296" s="22"/>
      <c r="D296" s="22"/>
      <c r="E296" s="22"/>
      <c r="F296" s="147"/>
      <c r="G296" s="148"/>
      <c r="H296" s="149"/>
      <c r="I296" s="150"/>
      <c r="J296" s="149"/>
      <c r="K296" s="149"/>
      <c r="L296" s="149"/>
      <c r="M296" s="149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ht="15.75" customHeight="1">
      <c r="A297" s="10"/>
      <c r="B297" s="22"/>
      <c r="C297" s="22"/>
      <c r="D297" s="22"/>
      <c r="E297" s="22"/>
      <c r="F297" s="147"/>
      <c r="G297" s="148"/>
      <c r="H297" s="149"/>
      <c r="I297" s="150"/>
      <c r="J297" s="149"/>
      <c r="K297" s="149"/>
      <c r="L297" s="149"/>
      <c r="M297" s="149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ht="15.75" customHeight="1">
      <c r="A298" s="10"/>
      <c r="B298" s="22"/>
      <c r="C298" s="22"/>
      <c r="D298" s="22"/>
      <c r="E298" s="22"/>
      <c r="F298" s="147"/>
      <c r="G298" s="148"/>
      <c r="H298" s="149"/>
      <c r="I298" s="150"/>
      <c r="J298" s="149"/>
      <c r="K298" s="149"/>
      <c r="L298" s="149"/>
      <c r="M298" s="149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ht="15.75" customHeight="1">
      <c r="A299" s="10"/>
      <c r="B299" s="22"/>
      <c r="C299" s="22"/>
      <c r="D299" s="22"/>
      <c r="E299" s="22"/>
      <c r="F299" s="147"/>
      <c r="G299" s="148"/>
      <c r="H299" s="149"/>
      <c r="I299" s="150"/>
      <c r="J299" s="149"/>
      <c r="K299" s="149"/>
      <c r="L299" s="149"/>
      <c r="M299" s="149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ht="15.75" customHeight="1">
      <c r="A300" s="10"/>
      <c r="B300" s="22"/>
      <c r="C300" s="22"/>
      <c r="D300" s="22"/>
      <c r="E300" s="22"/>
      <c r="F300" s="147"/>
      <c r="G300" s="148"/>
      <c r="H300" s="149"/>
      <c r="I300" s="150"/>
      <c r="J300" s="149"/>
      <c r="K300" s="149"/>
      <c r="L300" s="149"/>
      <c r="M300" s="149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ht="15.75" customHeight="1">
      <c r="A301" s="10"/>
      <c r="B301" s="22"/>
      <c r="C301" s="22"/>
      <c r="D301" s="22"/>
      <c r="E301" s="22"/>
      <c r="F301" s="147"/>
      <c r="G301" s="148"/>
      <c r="H301" s="149"/>
      <c r="I301" s="150"/>
      <c r="J301" s="149"/>
      <c r="K301" s="149"/>
      <c r="L301" s="149"/>
      <c r="M301" s="149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ht="15.75" customHeight="1">
      <c r="A302" s="10"/>
      <c r="B302" s="22"/>
      <c r="C302" s="22"/>
      <c r="D302" s="22"/>
      <c r="E302" s="22"/>
      <c r="F302" s="147"/>
      <c r="G302" s="148"/>
      <c r="H302" s="149"/>
      <c r="I302" s="150"/>
      <c r="J302" s="149"/>
      <c r="K302" s="149"/>
      <c r="L302" s="149"/>
      <c r="M302" s="149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ht="15.75" customHeight="1">
      <c r="A303" s="10"/>
      <c r="B303" s="22"/>
      <c r="C303" s="22"/>
      <c r="D303" s="22"/>
      <c r="E303" s="22"/>
      <c r="F303" s="147"/>
      <c r="G303" s="148"/>
      <c r="H303" s="149"/>
      <c r="I303" s="150"/>
      <c r="J303" s="149"/>
      <c r="K303" s="149"/>
      <c r="L303" s="149"/>
      <c r="M303" s="149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ht="15.75" customHeight="1">
      <c r="A304" s="10"/>
      <c r="B304" s="22"/>
      <c r="C304" s="22"/>
      <c r="D304" s="22"/>
      <c r="E304" s="22"/>
      <c r="F304" s="147"/>
      <c r="G304" s="148"/>
      <c r="H304" s="149"/>
      <c r="I304" s="150"/>
      <c r="J304" s="149"/>
      <c r="K304" s="149"/>
      <c r="L304" s="149"/>
      <c r="M304" s="149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ht="15.75" customHeight="1">
      <c r="A305" s="10"/>
      <c r="B305" s="22"/>
      <c r="C305" s="22"/>
      <c r="D305" s="22"/>
      <c r="E305" s="22"/>
      <c r="F305" s="147"/>
      <c r="G305" s="148"/>
      <c r="H305" s="149"/>
      <c r="I305" s="150"/>
      <c r="J305" s="149"/>
      <c r="K305" s="149"/>
      <c r="L305" s="149"/>
      <c r="M305" s="149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ht="15.75" customHeight="1">
      <c r="A306" s="10"/>
      <c r="B306" s="22"/>
      <c r="C306" s="22"/>
      <c r="D306" s="22"/>
      <c r="E306" s="22"/>
      <c r="F306" s="147"/>
      <c r="G306" s="148"/>
      <c r="H306" s="149"/>
      <c r="I306" s="150"/>
      <c r="J306" s="149"/>
      <c r="K306" s="149"/>
      <c r="L306" s="149"/>
      <c r="M306" s="149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ht="15.75" customHeight="1">
      <c r="A307" s="10"/>
      <c r="B307" s="22"/>
      <c r="C307" s="22"/>
      <c r="D307" s="22"/>
      <c r="E307" s="22"/>
      <c r="F307" s="147"/>
      <c r="G307" s="148"/>
      <c r="H307" s="149"/>
      <c r="I307" s="150"/>
      <c r="J307" s="149"/>
      <c r="K307" s="149"/>
      <c r="L307" s="149"/>
      <c r="M307" s="149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ht="15.75" customHeight="1">
      <c r="A308" s="10"/>
      <c r="B308" s="22"/>
      <c r="C308" s="22"/>
      <c r="D308" s="22"/>
      <c r="E308" s="22"/>
      <c r="F308" s="147"/>
      <c r="G308" s="148"/>
      <c r="H308" s="149"/>
      <c r="I308" s="150"/>
      <c r="J308" s="149"/>
      <c r="K308" s="149"/>
      <c r="L308" s="149"/>
      <c r="M308" s="149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ht="15.75" customHeight="1">
      <c r="A309" s="10"/>
      <c r="B309" s="22"/>
      <c r="C309" s="22"/>
      <c r="D309" s="22"/>
      <c r="E309" s="22"/>
      <c r="F309" s="147"/>
      <c r="G309" s="148"/>
      <c r="H309" s="149"/>
      <c r="I309" s="150"/>
      <c r="J309" s="149"/>
      <c r="K309" s="149"/>
      <c r="L309" s="149"/>
      <c r="M309" s="149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ht="15.75" customHeight="1">
      <c r="A310" s="10"/>
      <c r="B310" s="22"/>
      <c r="C310" s="22"/>
      <c r="D310" s="22"/>
      <c r="E310" s="22"/>
      <c r="F310" s="147"/>
      <c r="G310" s="148"/>
      <c r="H310" s="149"/>
      <c r="I310" s="150"/>
      <c r="J310" s="149"/>
      <c r="K310" s="149"/>
      <c r="L310" s="149"/>
      <c r="M310" s="149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ht="15.75" customHeight="1">
      <c r="A311" s="10"/>
      <c r="B311" s="22"/>
      <c r="C311" s="22"/>
      <c r="D311" s="22"/>
      <c r="E311" s="22"/>
      <c r="F311" s="147"/>
      <c r="G311" s="148"/>
      <c r="H311" s="149"/>
      <c r="I311" s="150"/>
      <c r="J311" s="149"/>
      <c r="K311" s="149"/>
      <c r="L311" s="149"/>
      <c r="M311" s="149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ht="15.75" customHeight="1">
      <c r="A312" s="10"/>
      <c r="B312" s="22"/>
      <c r="C312" s="22"/>
      <c r="D312" s="22"/>
      <c r="E312" s="22"/>
      <c r="F312" s="147"/>
      <c r="G312" s="148"/>
      <c r="H312" s="149"/>
      <c r="I312" s="150"/>
      <c r="J312" s="149"/>
      <c r="K312" s="149"/>
      <c r="L312" s="149"/>
      <c r="M312" s="149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ht="15.75" customHeight="1">
      <c r="A313" s="10"/>
      <c r="B313" s="22"/>
      <c r="C313" s="22"/>
      <c r="D313" s="22"/>
      <c r="E313" s="22"/>
      <c r="F313" s="147"/>
      <c r="G313" s="148"/>
      <c r="H313" s="149"/>
      <c r="I313" s="150"/>
      <c r="J313" s="149"/>
      <c r="K313" s="149"/>
      <c r="L313" s="149"/>
      <c r="M313" s="149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ht="15.75" customHeight="1">
      <c r="A314" s="10"/>
      <c r="B314" s="22"/>
      <c r="C314" s="22"/>
      <c r="D314" s="22"/>
      <c r="E314" s="22"/>
      <c r="F314" s="147"/>
      <c r="G314" s="148"/>
      <c r="H314" s="149"/>
      <c r="I314" s="150"/>
      <c r="J314" s="149"/>
      <c r="K314" s="149"/>
      <c r="L314" s="149"/>
      <c r="M314" s="149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ht="15.75" customHeight="1">
      <c r="A315" s="10"/>
      <c r="B315" s="22"/>
      <c r="C315" s="22"/>
      <c r="D315" s="22"/>
      <c r="E315" s="22"/>
      <c r="F315" s="147"/>
      <c r="G315" s="148"/>
      <c r="H315" s="149"/>
      <c r="I315" s="150"/>
      <c r="J315" s="149"/>
      <c r="K315" s="149"/>
      <c r="L315" s="149"/>
      <c r="M315" s="149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ht="15.75" customHeight="1">
      <c r="A316" s="10"/>
      <c r="B316" s="22"/>
      <c r="C316" s="22"/>
      <c r="D316" s="22"/>
      <c r="E316" s="22"/>
      <c r="F316" s="147"/>
      <c r="G316" s="148"/>
      <c r="H316" s="149"/>
      <c r="I316" s="150"/>
      <c r="J316" s="149"/>
      <c r="K316" s="149"/>
      <c r="L316" s="149"/>
      <c r="M316" s="149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ht="15.75" customHeight="1">
      <c r="A317" s="10"/>
      <c r="B317" s="22"/>
      <c r="C317" s="22"/>
      <c r="D317" s="22"/>
      <c r="E317" s="22"/>
      <c r="F317" s="147"/>
      <c r="G317" s="148"/>
      <c r="H317" s="149"/>
      <c r="I317" s="150"/>
      <c r="J317" s="149"/>
      <c r="K317" s="149"/>
      <c r="L317" s="149"/>
      <c r="M317" s="149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ht="15.75" customHeight="1">
      <c r="A318" s="10"/>
      <c r="B318" s="22"/>
      <c r="C318" s="22"/>
      <c r="D318" s="22"/>
      <c r="E318" s="22"/>
      <c r="F318" s="147"/>
      <c r="G318" s="148"/>
      <c r="H318" s="149"/>
      <c r="I318" s="150"/>
      <c r="J318" s="149"/>
      <c r="K318" s="149"/>
      <c r="L318" s="149"/>
      <c r="M318" s="149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ht="15.75" customHeight="1">
      <c r="A319" s="10"/>
      <c r="B319" s="22"/>
      <c r="C319" s="22"/>
      <c r="D319" s="22"/>
      <c r="E319" s="22"/>
      <c r="F319" s="147"/>
      <c r="G319" s="148"/>
      <c r="H319" s="149"/>
      <c r="I319" s="150"/>
      <c r="J319" s="149"/>
      <c r="K319" s="149"/>
      <c r="L319" s="149"/>
      <c r="M319" s="149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ht="15.75" customHeight="1">
      <c r="A320" s="10"/>
      <c r="B320" s="22"/>
      <c r="C320" s="22"/>
      <c r="D320" s="22"/>
      <c r="E320" s="22"/>
      <c r="F320" s="147"/>
      <c r="G320" s="148"/>
      <c r="H320" s="149"/>
      <c r="I320" s="150"/>
      <c r="J320" s="149"/>
      <c r="K320" s="149"/>
      <c r="L320" s="149"/>
      <c r="M320" s="149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ht="15.75" customHeight="1">
      <c r="A321" s="10"/>
      <c r="B321" s="22"/>
      <c r="C321" s="22"/>
      <c r="D321" s="22"/>
      <c r="E321" s="22"/>
      <c r="F321" s="147"/>
      <c r="G321" s="148"/>
      <c r="H321" s="149"/>
      <c r="I321" s="150"/>
      <c r="J321" s="149"/>
      <c r="K321" s="149"/>
      <c r="L321" s="149"/>
      <c r="M321" s="149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ht="15.75" customHeight="1">
      <c r="A322" s="10"/>
      <c r="B322" s="22"/>
      <c r="C322" s="22"/>
      <c r="D322" s="22"/>
      <c r="E322" s="22"/>
      <c r="F322" s="147"/>
      <c r="G322" s="148"/>
      <c r="H322" s="149"/>
      <c r="I322" s="150"/>
      <c r="J322" s="149"/>
      <c r="K322" s="149"/>
      <c r="L322" s="149"/>
      <c r="M322" s="149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ht="15.75" customHeight="1">
      <c r="A323" s="10"/>
      <c r="B323" s="22"/>
      <c r="C323" s="22"/>
      <c r="D323" s="22"/>
      <c r="E323" s="22"/>
      <c r="F323" s="147"/>
      <c r="G323" s="148"/>
      <c r="H323" s="149"/>
      <c r="I323" s="150"/>
      <c r="J323" s="149"/>
      <c r="K323" s="149"/>
      <c r="L323" s="149"/>
      <c r="M323" s="149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ht="15.75" customHeight="1">
      <c r="A324" s="10"/>
      <c r="B324" s="22"/>
      <c r="C324" s="22"/>
      <c r="D324" s="22"/>
      <c r="E324" s="22"/>
      <c r="F324" s="147"/>
      <c r="G324" s="148"/>
      <c r="H324" s="149"/>
      <c r="I324" s="150"/>
      <c r="J324" s="149"/>
      <c r="K324" s="149"/>
      <c r="L324" s="149"/>
      <c r="M324" s="149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ht="15.75" customHeight="1">
      <c r="A325" s="10"/>
      <c r="B325" s="22"/>
      <c r="C325" s="22"/>
      <c r="D325" s="22"/>
      <c r="E325" s="22"/>
      <c r="F325" s="147"/>
      <c r="G325" s="148"/>
      <c r="H325" s="149"/>
      <c r="I325" s="150"/>
      <c r="J325" s="149"/>
      <c r="K325" s="149"/>
      <c r="L325" s="149"/>
      <c r="M325" s="149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ht="15.75" customHeight="1">
      <c r="A326" s="10"/>
      <c r="B326" s="22"/>
      <c r="C326" s="22"/>
      <c r="D326" s="22"/>
      <c r="E326" s="22"/>
      <c r="F326" s="147"/>
      <c r="G326" s="148"/>
      <c r="H326" s="149"/>
      <c r="I326" s="150"/>
      <c r="J326" s="149"/>
      <c r="K326" s="149"/>
      <c r="L326" s="149"/>
      <c r="M326" s="149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ht="15.75" customHeight="1">
      <c r="A327" s="10"/>
      <c r="B327" s="22"/>
      <c r="C327" s="22"/>
      <c r="D327" s="22"/>
      <c r="E327" s="22"/>
      <c r="F327" s="147"/>
      <c r="G327" s="148"/>
      <c r="H327" s="149"/>
      <c r="I327" s="150"/>
      <c r="J327" s="149"/>
      <c r="K327" s="149"/>
      <c r="L327" s="149"/>
      <c r="M327" s="149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ht="15.75" customHeight="1">
      <c r="A328" s="10"/>
      <c r="B328" s="22"/>
      <c r="C328" s="22"/>
      <c r="D328" s="22"/>
      <c r="E328" s="22"/>
      <c r="F328" s="147"/>
      <c r="G328" s="148"/>
      <c r="H328" s="149"/>
      <c r="I328" s="150"/>
      <c r="J328" s="149"/>
      <c r="K328" s="149"/>
      <c r="L328" s="149"/>
      <c r="M328" s="149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ht="15.75" customHeight="1">
      <c r="A329" s="10"/>
      <c r="B329" s="22"/>
      <c r="C329" s="22"/>
      <c r="D329" s="22"/>
      <c r="E329" s="22"/>
      <c r="F329" s="147"/>
      <c r="G329" s="148"/>
      <c r="H329" s="149"/>
      <c r="I329" s="150"/>
      <c r="J329" s="149"/>
      <c r="K329" s="149"/>
      <c r="L329" s="149"/>
      <c r="M329" s="149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ht="15.75" customHeight="1">
      <c r="A330" s="10"/>
      <c r="B330" s="22"/>
      <c r="C330" s="22"/>
      <c r="D330" s="22"/>
      <c r="E330" s="22"/>
      <c r="F330" s="147"/>
      <c r="G330" s="148"/>
      <c r="H330" s="149"/>
      <c r="I330" s="150"/>
      <c r="J330" s="149"/>
      <c r="K330" s="149"/>
      <c r="L330" s="149"/>
      <c r="M330" s="149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ht="15.75" customHeight="1">
      <c r="A331" s="10"/>
      <c r="B331" s="22"/>
      <c r="C331" s="22"/>
      <c r="D331" s="22"/>
      <c r="E331" s="22"/>
      <c r="F331" s="147"/>
      <c r="G331" s="148"/>
      <c r="H331" s="149"/>
      <c r="I331" s="150"/>
      <c r="J331" s="149"/>
      <c r="K331" s="149"/>
      <c r="L331" s="149"/>
      <c r="M331" s="149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ht="15.75" customHeight="1">
      <c r="A332" s="10"/>
      <c r="B332" s="22"/>
      <c r="C332" s="22"/>
      <c r="D332" s="22"/>
      <c r="E332" s="22"/>
      <c r="F332" s="147"/>
      <c r="G332" s="148"/>
      <c r="H332" s="149"/>
      <c r="I332" s="150"/>
      <c r="J332" s="149"/>
      <c r="K332" s="149"/>
      <c r="L332" s="149"/>
      <c r="M332" s="149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ht="15.75" customHeight="1">
      <c r="A333" s="10"/>
      <c r="B333" s="22"/>
      <c r="C333" s="22"/>
      <c r="D333" s="22"/>
      <c r="E333" s="22"/>
      <c r="F333" s="147"/>
      <c r="G333" s="148"/>
      <c r="H333" s="149"/>
      <c r="I333" s="150"/>
      <c r="J333" s="149"/>
      <c r="K333" s="149"/>
      <c r="L333" s="149"/>
      <c r="M333" s="149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ht="15.75" customHeight="1">
      <c r="A334" s="10"/>
      <c r="B334" s="22"/>
      <c r="C334" s="22"/>
      <c r="D334" s="22"/>
      <c r="E334" s="22"/>
      <c r="F334" s="147"/>
      <c r="G334" s="148"/>
      <c r="H334" s="149"/>
      <c r="I334" s="150"/>
      <c r="J334" s="149"/>
      <c r="K334" s="149"/>
      <c r="L334" s="149"/>
      <c r="M334" s="149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ht="15.75" customHeight="1">
      <c r="A335" s="10"/>
      <c r="B335" s="22"/>
      <c r="C335" s="22"/>
      <c r="D335" s="22"/>
      <c r="E335" s="22"/>
      <c r="F335" s="147"/>
      <c r="G335" s="148"/>
      <c r="H335" s="149"/>
      <c r="I335" s="150"/>
      <c r="J335" s="149"/>
      <c r="K335" s="149"/>
      <c r="L335" s="149"/>
      <c r="M335" s="149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ht="15.75" customHeight="1">
      <c r="A336" s="10"/>
      <c r="B336" s="22"/>
      <c r="C336" s="22"/>
      <c r="D336" s="22"/>
      <c r="E336" s="22"/>
      <c r="F336" s="147"/>
      <c r="G336" s="148"/>
      <c r="H336" s="149"/>
      <c r="I336" s="150"/>
      <c r="J336" s="149"/>
      <c r="K336" s="149"/>
      <c r="L336" s="149"/>
      <c r="M336" s="149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ht="15.75" customHeight="1">
      <c r="A337" s="10"/>
      <c r="B337" s="22"/>
      <c r="C337" s="22"/>
      <c r="D337" s="22"/>
      <c r="E337" s="22"/>
      <c r="F337" s="147"/>
      <c r="G337" s="148"/>
      <c r="H337" s="149"/>
      <c r="I337" s="150"/>
      <c r="J337" s="149"/>
      <c r="K337" s="149"/>
      <c r="L337" s="149"/>
      <c r="M337" s="149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ht="15.75" customHeight="1">
      <c r="A338" s="10"/>
      <c r="B338" s="22"/>
      <c r="C338" s="22"/>
      <c r="D338" s="22"/>
      <c r="E338" s="22"/>
      <c r="F338" s="147"/>
      <c r="G338" s="148"/>
      <c r="H338" s="149"/>
      <c r="I338" s="150"/>
      <c r="J338" s="149"/>
      <c r="K338" s="149"/>
      <c r="L338" s="149"/>
      <c r="M338" s="149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ht="15.75" customHeight="1">
      <c r="A339" s="10"/>
      <c r="B339" s="22"/>
      <c r="C339" s="22"/>
      <c r="D339" s="22"/>
      <c r="E339" s="22"/>
      <c r="F339" s="147"/>
      <c r="G339" s="148"/>
      <c r="H339" s="149"/>
      <c r="I339" s="150"/>
      <c r="J339" s="149"/>
      <c r="K339" s="149"/>
      <c r="L339" s="149"/>
      <c r="M339" s="149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ht="15.75" customHeight="1">
      <c r="A340" s="10"/>
      <c r="B340" s="22"/>
      <c r="C340" s="22"/>
      <c r="D340" s="22"/>
      <c r="E340" s="22"/>
      <c r="F340" s="147"/>
      <c r="G340" s="148"/>
      <c r="H340" s="149"/>
      <c r="I340" s="150"/>
      <c r="J340" s="149"/>
      <c r="K340" s="149"/>
      <c r="L340" s="149"/>
      <c r="M340" s="149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ht="15.75" customHeight="1">
      <c r="A341" s="10"/>
      <c r="B341" s="22"/>
      <c r="C341" s="22"/>
      <c r="D341" s="22"/>
      <c r="E341" s="22"/>
      <c r="F341" s="147"/>
      <c r="G341" s="148"/>
      <c r="H341" s="149"/>
      <c r="I341" s="150"/>
      <c r="J341" s="149"/>
      <c r="K341" s="149"/>
      <c r="L341" s="149"/>
      <c r="M341" s="149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ht="15.75" customHeight="1">
      <c r="A342" s="10"/>
      <c r="B342" s="22"/>
      <c r="C342" s="22"/>
      <c r="D342" s="22"/>
      <c r="E342" s="22"/>
      <c r="F342" s="147"/>
      <c r="G342" s="148"/>
      <c r="H342" s="149"/>
      <c r="I342" s="150"/>
      <c r="J342" s="149"/>
      <c r="K342" s="149"/>
      <c r="L342" s="149"/>
      <c r="M342" s="149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ht="15.75" customHeight="1">
      <c r="A343" s="10"/>
      <c r="B343" s="22"/>
      <c r="C343" s="22"/>
      <c r="D343" s="22"/>
      <c r="E343" s="22"/>
      <c r="F343" s="147"/>
      <c r="G343" s="148"/>
      <c r="H343" s="149"/>
      <c r="I343" s="150"/>
      <c r="J343" s="149"/>
      <c r="K343" s="149"/>
      <c r="L343" s="149"/>
      <c r="M343" s="149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ht="15.75" customHeight="1">
      <c r="A344" s="10"/>
      <c r="B344" s="22"/>
      <c r="C344" s="22"/>
      <c r="D344" s="22"/>
      <c r="E344" s="22"/>
      <c r="F344" s="147"/>
      <c r="G344" s="148"/>
      <c r="H344" s="149"/>
      <c r="I344" s="150"/>
      <c r="J344" s="149"/>
      <c r="K344" s="149"/>
      <c r="L344" s="149"/>
      <c r="M344" s="149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ht="15.75" customHeight="1">
      <c r="A345" s="10"/>
      <c r="B345" s="22"/>
      <c r="C345" s="22"/>
      <c r="D345" s="22"/>
      <c r="E345" s="22"/>
      <c r="F345" s="147"/>
      <c r="G345" s="148"/>
      <c r="H345" s="149"/>
      <c r="I345" s="150"/>
      <c r="J345" s="149"/>
      <c r="K345" s="149"/>
      <c r="L345" s="149"/>
      <c r="M345" s="149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ht="15.75" customHeight="1">
      <c r="A346" s="10"/>
      <c r="B346" s="22"/>
      <c r="C346" s="22"/>
      <c r="D346" s="22"/>
      <c r="E346" s="22"/>
      <c r="F346" s="147"/>
      <c r="G346" s="148"/>
      <c r="H346" s="149"/>
      <c r="I346" s="150"/>
      <c r="J346" s="149"/>
      <c r="K346" s="149"/>
      <c r="L346" s="149"/>
      <c r="M346" s="149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ht="15.75" customHeight="1">
      <c r="A347" s="10"/>
      <c r="B347" s="22"/>
      <c r="C347" s="22"/>
      <c r="D347" s="22"/>
      <c r="E347" s="22"/>
      <c r="F347" s="147"/>
      <c r="G347" s="148"/>
      <c r="H347" s="149"/>
      <c r="I347" s="150"/>
      <c r="J347" s="149"/>
      <c r="K347" s="149"/>
      <c r="L347" s="149"/>
      <c r="M347" s="149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ht="15.75" customHeight="1">
      <c r="A348" s="10"/>
      <c r="B348" s="22"/>
      <c r="C348" s="22"/>
      <c r="D348" s="22"/>
      <c r="E348" s="22"/>
      <c r="F348" s="147"/>
      <c r="G348" s="148"/>
      <c r="H348" s="149"/>
      <c r="I348" s="150"/>
      <c r="J348" s="149"/>
      <c r="K348" s="149"/>
      <c r="L348" s="149"/>
      <c r="M348" s="149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ht="15.75" customHeight="1">
      <c r="A349" s="10"/>
      <c r="B349" s="22"/>
      <c r="C349" s="22"/>
      <c r="D349" s="22"/>
      <c r="E349" s="22"/>
      <c r="F349" s="147"/>
      <c r="G349" s="148"/>
      <c r="H349" s="149"/>
      <c r="I349" s="150"/>
      <c r="J349" s="149"/>
      <c r="K349" s="149"/>
      <c r="L349" s="149"/>
      <c r="M349" s="149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ht="15.75" customHeight="1">
      <c r="A350" s="10"/>
      <c r="B350" s="22"/>
      <c r="C350" s="22"/>
      <c r="D350" s="22"/>
      <c r="E350" s="22"/>
      <c r="F350" s="147"/>
      <c r="G350" s="148"/>
      <c r="H350" s="149"/>
      <c r="I350" s="150"/>
      <c r="J350" s="149"/>
      <c r="K350" s="149"/>
      <c r="L350" s="149"/>
      <c r="M350" s="149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ht="15.75" customHeight="1">
      <c r="A351" s="10"/>
      <c r="B351" s="22"/>
      <c r="C351" s="22"/>
      <c r="D351" s="22"/>
      <c r="E351" s="22"/>
      <c r="F351" s="147"/>
      <c r="G351" s="148"/>
      <c r="H351" s="149"/>
      <c r="I351" s="150"/>
      <c r="J351" s="149"/>
      <c r="K351" s="149"/>
      <c r="L351" s="149"/>
      <c r="M351" s="149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ht="15.75" customHeight="1">
      <c r="A352" s="10"/>
      <c r="B352" s="22"/>
      <c r="C352" s="22"/>
      <c r="D352" s="22"/>
      <c r="E352" s="22"/>
      <c r="F352" s="147"/>
      <c r="G352" s="148"/>
      <c r="H352" s="149"/>
      <c r="I352" s="150"/>
      <c r="J352" s="149"/>
      <c r="K352" s="149"/>
      <c r="L352" s="149"/>
      <c r="M352" s="149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ht="15.75" customHeight="1">
      <c r="A353" s="10"/>
      <c r="B353" s="22"/>
      <c r="C353" s="22"/>
      <c r="D353" s="22"/>
      <c r="E353" s="22"/>
      <c r="F353" s="147"/>
      <c r="G353" s="148"/>
      <c r="H353" s="149"/>
      <c r="I353" s="150"/>
      <c r="J353" s="149"/>
      <c r="K353" s="149"/>
      <c r="L353" s="149"/>
      <c r="M353" s="149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ht="15.75" customHeight="1">
      <c r="A354" s="10"/>
      <c r="B354" s="22"/>
      <c r="C354" s="22"/>
      <c r="D354" s="22"/>
      <c r="E354" s="22"/>
      <c r="F354" s="147"/>
      <c r="G354" s="148"/>
      <c r="H354" s="149"/>
      <c r="I354" s="150"/>
      <c r="J354" s="149"/>
      <c r="K354" s="149"/>
      <c r="L354" s="149"/>
      <c r="M354" s="149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ht="15.75" customHeight="1">
      <c r="A355" s="10"/>
      <c r="B355" s="22"/>
      <c r="C355" s="22"/>
      <c r="D355" s="22"/>
      <c r="E355" s="22"/>
      <c r="F355" s="147"/>
      <c r="G355" s="148"/>
      <c r="H355" s="149"/>
      <c r="I355" s="150"/>
      <c r="J355" s="149"/>
      <c r="K355" s="149"/>
      <c r="L355" s="149"/>
      <c r="M355" s="149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ht="15.75" customHeight="1">
      <c r="A356" s="10"/>
      <c r="B356" s="22"/>
      <c r="C356" s="22"/>
      <c r="D356" s="22"/>
      <c r="E356" s="22"/>
      <c r="F356" s="147"/>
      <c r="G356" s="148"/>
      <c r="H356" s="149"/>
      <c r="I356" s="150"/>
      <c r="J356" s="149"/>
      <c r="K356" s="149"/>
      <c r="L356" s="149"/>
      <c r="M356" s="149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ht="15.75" customHeight="1">
      <c r="A357" s="10"/>
      <c r="B357" s="22"/>
      <c r="C357" s="22"/>
      <c r="D357" s="22"/>
      <c r="E357" s="22"/>
      <c r="F357" s="147"/>
      <c r="G357" s="148"/>
      <c r="H357" s="149"/>
      <c r="I357" s="150"/>
      <c r="J357" s="149"/>
      <c r="K357" s="149"/>
      <c r="L357" s="149"/>
      <c r="M357" s="149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ht="15.75" customHeight="1">
      <c r="A358" s="10"/>
      <c r="B358" s="22"/>
      <c r="C358" s="22"/>
      <c r="D358" s="22"/>
      <c r="E358" s="22"/>
      <c r="F358" s="147"/>
      <c r="G358" s="148"/>
      <c r="H358" s="149"/>
      <c r="I358" s="150"/>
      <c r="J358" s="149"/>
      <c r="K358" s="149"/>
      <c r="L358" s="149"/>
      <c r="M358" s="149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ht="15.75" customHeight="1">
      <c r="A359" s="10"/>
      <c r="B359" s="22"/>
      <c r="C359" s="22"/>
      <c r="D359" s="22"/>
      <c r="E359" s="22"/>
      <c r="F359" s="147"/>
      <c r="G359" s="148"/>
      <c r="H359" s="149"/>
      <c r="I359" s="150"/>
      <c r="J359" s="149"/>
      <c r="K359" s="149"/>
      <c r="L359" s="149"/>
      <c r="M359" s="149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ht="15.75" customHeight="1">
      <c r="A360" s="10"/>
      <c r="B360" s="22"/>
      <c r="C360" s="22"/>
      <c r="D360" s="22"/>
      <c r="E360" s="22"/>
      <c r="F360" s="147"/>
      <c r="G360" s="148"/>
      <c r="H360" s="149"/>
      <c r="I360" s="150"/>
      <c r="J360" s="149"/>
      <c r="K360" s="149"/>
      <c r="L360" s="149"/>
      <c r="M360" s="149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ht="15.75" customHeight="1">
      <c r="A361" s="10"/>
      <c r="B361" s="22"/>
      <c r="C361" s="22"/>
      <c r="D361" s="22"/>
      <c r="E361" s="22"/>
      <c r="F361" s="147"/>
      <c r="G361" s="148"/>
      <c r="H361" s="149"/>
      <c r="I361" s="150"/>
      <c r="J361" s="149"/>
      <c r="K361" s="149"/>
      <c r="L361" s="149"/>
      <c r="M361" s="149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ht="15.75" customHeight="1">
      <c r="A362" s="10"/>
      <c r="B362" s="22"/>
      <c r="C362" s="22"/>
      <c r="D362" s="22"/>
      <c r="E362" s="22"/>
      <c r="F362" s="147"/>
      <c r="G362" s="148"/>
      <c r="H362" s="149"/>
      <c r="I362" s="150"/>
      <c r="J362" s="149"/>
      <c r="K362" s="149"/>
      <c r="L362" s="149"/>
      <c r="M362" s="149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ht="15.75" customHeight="1">
      <c r="A363" s="10"/>
      <c r="B363" s="22"/>
      <c r="C363" s="22"/>
      <c r="D363" s="22"/>
      <c r="E363" s="22"/>
      <c r="F363" s="147"/>
      <c r="G363" s="148"/>
      <c r="H363" s="149"/>
      <c r="I363" s="150"/>
      <c r="J363" s="149"/>
      <c r="K363" s="149"/>
      <c r="L363" s="149"/>
      <c r="M363" s="149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ht="15.75" customHeight="1">
      <c r="A364" s="10"/>
      <c r="B364" s="22"/>
      <c r="C364" s="22"/>
      <c r="D364" s="22"/>
      <c r="E364" s="22"/>
      <c r="F364" s="147"/>
      <c r="G364" s="148"/>
      <c r="H364" s="149"/>
      <c r="I364" s="150"/>
      <c r="J364" s="149"/>
      <c r="K364" s="149"/>
      <c r="L364" s="149"/>
      <c r="M364" s="149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ht="15.75" customHeight="1">
      <c r="A365" s="10"/>
      <c r="B365" s="22"/>
      <c r="C365" s="22"/>
      <c r="D365" s="22"/>
      <c r="E365" s="22"/>
      <c r="F365" s="147"/>
      <c r="G365" s="148"/>
      <c r="H365" s="149"/>
      <c r="I365" s="150"/>
      <c r="J365" s="149"/>
      <c r="K365" s="149"/>
      <c r="L365" s="149"/>
      <c r="M365" s="149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ht="15.75" customHeight="1">
      <c r="A366" s="10"/>
      <c r="B366" s="22"/>
      <c r="C366" s="22"/>
      <c r="D366" s="22"/>
      <c r="E366" s="22"/>
      <c r="F366" s="147"/>
      <c r="G366" s="148"/>
      <c r="H366" s="149"/>
      <c r="I366" s="150"/>
      <c r="J366" s="149"/>
      <c r="K366" s="149"/>
      <c r="L366" s="149"/>
      <c r="M366" s="149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ht="15.75" customHeight="1">
      <c r="A367" s="10"/>
      <c r="B367" s="22"/>
      <c r="C367" s="22"/>
      <c r="D367" s="22"/>
      <c r="E367" s="22"/>
      <c r="F367" s="147"/>
      <c r="G367" s="148"/>
      <c r="H367" s="149"/>
      <c r="I367" s="150"/>
      <c r="J367" s="149"/>
      <c r="K367" s="149"/>
      <c r="L367" s="149"/>
      <c r="M367" s="149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ht="15.75" customHeight="1">
      <c r="A368" s="10"/>
      <c r="B368" s="22"/>
      <c r="C368" s="22"/>
      <c r="D368" s="22"/>
      <c r="E368" s="22"/>
      <c r="F368" s="147"/>
      <c r="G368" s="148"/>
      <c r="H368" s="149"/>
      <c r="I368" s="150"/>
      <c r="J368" s="149"/>
      <c r="K368" s="149"/>
      <c r="L368" s="149"/>
      <c r="M368" s="149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ht="15.75" customHeight="1">
      <c r="A369" s="10"/>
      <c r="B369" s="22"/>
      <c r="C369" s="22"/>
      <c r="D369" s="22"/>
      <c r="E369" s="22"/>
      <c r="F369" s="147"/>
      <c r="G369" s="148"/>
      <c r="H369" s="149"/>
      <c r="I369" s="150"/>
      <c r="J369" s="149"/>
      <c r="K369" s="149"/>
      <c r="L369" s="149"/>
      <c r="M369" s="149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ht="15.75" customHeight="1">
      <c r="A370" s="10"/>
      <c r="B370" s="22"/>
      <c r="C370" s="22"/>
      <c r="D370" s="22"/>
      <c r="E370" s="22"/>
      <c r="F370" s="147"/>
      <c r="G370" s="148"/>
      <c r="H370" s="149"/>
      <c r="I370" s="150"/>
      <c r="J370" s="149"/>
      <c r="K370" s="149"/>
      <c r="L370" s="149"/>
      <c r="M370" s="149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ht="15.75" customHeight="1">
      <c r="A371" s="10"/>
      <c r="B371" s="22"/>
      <c r="C371" s="22"/>
      <c r="D371" s="22"/>
      <c r="E371" s="22"/>
      <c r="F371" s="147"/>
      <c r="G371" s="148"/>
      <c r="H371" s="149"/>
      <c r="I371" s="150"/>
      <c r="J371" s="149"/>
      <c r="K371" s="149"/>
      <c r="L371" s="149"/>
      <c r="M371" s="149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ht="15.75" customHeight="1">
      <c r="A372" s="10"/>
      <c r="B372" s="22"/>
      <c r="C372" s="22"/>
      <c r="D372" s="22"/>
      <c r="E372" s="22"/>
      <c r="F372" s="147"/>
      <c r="G372" s="148"/>
      <c r="H372" s="149"/>
      <c r="I372" s="150"/>
      <c r="J372" s="149"/>
      <c r="K372" s="149"/>
      <c r="L372" s="149"/>
      <c r="M372" s="149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ht="15.75" customHeight="1">
      <c r="A373" s="10"/>
      <c r="B373" s="22"/>
      <c r="C373" s="22"/>
      <c r="D373" s="22"/>
      <c r="E373" s="22"/>
      <c r="F373" s="147"/>
      <c r="G373" s="148"/>
      <c r="H373" s="149"/>
      <c r="I373" s="150"/>
      <c r="J373" s="149"/>
      <c r="K373" s="149"/>
      <c r="L373" s="149"/>
      <c r="M373" s="149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ht="15.75" customHeight="1">
      <c r="A374" s="10"/>
      <c r="B374" s="22"/>
      <c r="C374" s="22"/>
      <c r="D374" s="22"/>
      <c r="E374" s="22"/>
      <c r="F374" s="147"/>
      <c r="G374" s="148"/>
      <c r="H374" s="149"/>
      <c r="I374" s="150"/>
      <c r="J374" s="149"/>
      <c r="K374" s="149"/>
      <c r="L374" s="149"/>
      <c r="M374" s="149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ht="15.75" customHeight="1">
      <c r="A375" s="10"/>
      <c r="B375" s="22"/>
      <c r="C375" s="22"/>
      <c r="D375" s="22"/>
      <c r="E375" s="22"/>
      <c r="F375" s="147"/>
      <c r="G375" s="148"/>
      <c r="H375" s="149"/>
      <c r="I375" s="150"/>
      <c r="J375" s="149"/>
      <c r="K375" s="149"/>
      <c r="L375" s="149"/>
      <c r="M375" s="149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ht="15.75" customHeight="1">
      <c r="A376" s="10"/>
      <c r="B376" s="22"/>
      <c r="C376" s="22"/>
      <c r="D376" s="22"/>
      <c r="E376" s="22"/>
      <c r="F376" s="147"/>
      <c r="G376" s="148"/>
      <c r="H376" s="149"/>
      <c r="I376" s="150"/>
      <c r="J376" s="149"/>
      <c r="K376" s="149"/>
      <c r="L376" s="149"/>
      <c r="M376" s="149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ht="15.75" customHeight="1">
      <c r="A377" s="10"/>
      <c r="B377" s="22"/>
      <c r="C377" s="22"/>
      <c r="D377" s="22"/>
      <c r="E377" s="22"/>
      <c r="F377" s="147"/>
      <c r="G377" s="148"/>
      <c r="H377" s="149"/>
      <c r="I377" s="150"/>
      <c r="J377" s="149"/>
      <c r="K377" s="149"/>
      <c r="L377" s="149"/>
      <c r="M377" s="149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ht="15.75" customHeight="1">
      <c r="A378" s="10"/>
      <c r="B378" s="22"/>
      <c r="C378" s="22"/>
      <c r="D378" s="22"/>
      <c r="E378" s="22"/>
      <c r="F378" s="147"/>
      <c r="G378" s="148"/>
      <c r="H378" s="149"/>
      <c r="I378" s="150"/>
      <c r="J378" s="149"/>
      <c r="K378" s="149"/>
      <c r="L378" s="149"/>
      <c r="M378" s="149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ht="15.75" customHeight="1">
      <c r="A379" s="10"/>
      <c r="B379" s="22"/>
      <c r="C379" s="22"/>
      <c r="D379" s="22"/>
      <c r="E379" s="22"/>
      <c r="F379" s="147"/>
      <c r="G379" s="148"/>
      <c r="H379" s="149"/>
      <c r="I379" s="150"/>
      <c r="J379" s="149"/>
      <c r="K379" s="149"/>
      <c r="L379" s="149"/>
      <c r="M379" s="149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ht="15.75" customHeight="1">
      <c r="A380" s="10"/>
      <c r="B380" s="22"/>
      <c r="C380" s="22"/>
      <c r="D380" s="22"/>
      <c r="E380" s="22"/>
      <c r="F380" s="147"/>
      <c r="G380" s="148"/>
      <c r="H380" s="149"/>
      <c r="I380" s="150"/>
      <c r="J380" s="149"/>
      <c r="K380" s="149"/>
      <c r="L380" s="149"/>
      <c r="M380" s="149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ht="15.75" customHeight="1">
      <c r="A381" s="10"/>
      <c r="B381" s="22"/>
      <c r="C381" s="22"/>
      <c r="D381" s="22"/>
      <c r="E381" s="22"/>
      <c r="F381" s="147"/>
      <c r="G381" s="148"/>
      <c r="H381" s="149"/>
      <c r="I381" s="150"/>
      <c r="J381" s="149"/>
      <c r="K381" s="149"/>
      <c r="L381" s="149"/>
      <c r="M381" s="149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ht="15.75" customHeight="1">
      <c r="A382" s="10"/>
      <c r="B382" s="22"/>
      <c r="C382" s="22"/>
      <c r="D382" s="22"/>
      <c r="E382" s="22"/>
      <c r="F382" s="147"/>
      <c r="G382" s="148"/>
      <c r="H382" s="149"/>
      <c r="I382" s="150"/>
      <c r="J382" s="149"/>
      <c r="K382" s="149"/>
      <c r="L382" s="149"/>
      <c r="M382" s="149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ht="15.75" customHeight="1">
      <c r="A383" s="10"/>
      <c r="B383" s="22"/>
      <c r="C383" s="22"/>
      <c r="D383" s="22"/>
      <c r="E383" s="22"/>
      <c r="F383" s="147"/>
      <c r="G383" s="148"/>
      <c r="H383" s="149"/>
      <c r="I383" s="150"/>
      <c r="J383" s="149"/>
      <c r="K383" s="149"/>
      <c r="L383" s="149"/>
      <c r="M383" s="149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ht="15.75" customHeight="1">
      <c r="A384" s="10"/>
      <c r="B384" s="22"/>
      <c r="C384" s="22"/>
      <c r="D384" s="22"/>
      <c r="E384" s="22"/>
      <c r="F384" s="147"/>
      <c r="G384" s="148"/>
      <c r="H384" s="149"/>
      <c r="I384" s="150"/>
      <c r="J384" s="149"/>
      <c r="K384" s="149"/>
      <c r="L384" s="149"/>
      <c r="M384" s="149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ht="15.75" customHeight="1">
      <c r="A385" s="10"/>
      <c r="B385" s="22"/>
      <c r="C385" s="22"/>
      <c r="D385" s="22"/>
      <c r="E385" s="22"/>
      <c r="F385" s="147"/>
      <c r="G385" s="148"/>
      <c r="H385" s="149"/>
      <c r="I385" s="150"/>
      <c r="J385" s="149"/>
      <c r="K385" s="149"/>
      <c r="L385" s="149"/>
      <c r="M385" s="149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ht="15.75" customHeight="1">
      <c r="A386" s="10"/>
      <c r="B386" s="22"/>
      <c r="C386" s="22"/>
      <c r="D386" s="22"/>
      <c r="E386" s="22"/>
      <c r="F386" s="147"/>
      <c r="G386" s="148"/>
      <c r="H386" s="149"/>
      <c r="I386" s="150"/>
      <c r="J386" s="149"/>
      <c r="K386" s="149"/>
      <c r="L386" s="149"/>
      <c r="M386" s="149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ht="15.75" customHeight="1">
      <c r="A387" s="10"/>
      <c r="B387" s="22"/>
      <c r="C387" s="22"/>
      <c r="D387" s="22"/>
      <c r="E387" s="22"/>
      <c r="F387" s="147"/>
      <c r="G387" s="148"/>
      <c r="H387" s="149"/>
      <c r="I387" s="150"/>
      <c r="J387" s="149"/>
      <c r="K387" s="149"/>
      <c r="L387" s="149"/>
      <c r="M387" s="149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ht="15.75" customHeight="1">
      <c r="A388" s="10"/>
      <c r="B388" s="22"/>
      <c r="C388" s="22"/>
      <c r="D388" s="22"/>
      <c r="E388" s="22"/>
      <c r="F388" s="147"/>
      <c r="G388" s="148"/>
      <c r="H388" s="149"/>
      <c r="I388" s="150"/>
      <c r="J388" s="149"/>
      <c r="K388" s="149"/>
      <c r="L388" s="149"/>
      <c r="M388" s="149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ht="15.75" customHeight="1">
      <c r="A389" s="10"/>
      <c r="B389" s="22"/>
      <c r="C389" s="22"/>
      <c r="D389" s="22"/>
      <c r="E389" s="22"/>
      <c r="F389" s="147"/>
      <c r="G389" s="148"/>
      <c r="H389" s="149"/>
      <c r="I389" s="150"/>
      <c r="J389" s="149"/>
      <c r="K389" s="149"/>
      <c r="L389" s="149"/>
      <c r="M389" s="149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ht="15.75" customHeight="1">
      <c r="A390" s="10"/>
      <c r="B390" s="22"/>
      <c r="C390" s="22"/>
      <c r="D390" s="22"/>
      <c r="E390" s="22"/>
      <c r="F390" s="147"/>
      <c r="G390" s="148"/>
      <c r="H390" s="149"/>
      <c r="I390" s="150"/>
      <c r="J390" s="149"/>
      <c r="K390" s="149"/>
      <c r="L390" s="149"/>
      <c r="M390" s="149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ht="15.75" customHeight="1">
      <c r="A391" s="10"/>
      <c r="B391" s="22"/>
      <c r="C391" s="22"/>
      <c r="D391" s="22"/>
      <c r="E391" s="22"/>
      <c r="F391" s="147"/>
      <c r="G391" s="148"/>
      <c r="H391" s="149"/>
      <c r="I391" s="150"/>
      <c r="J391" s="149"/>
      <c r="K391" s="149"/>
      <c r="L391" s="149"/>
      <c r="M391" s="149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ht="15.75" customHeight="1">
      <c r="A392" s="10"/>
      <c r="B392" s="22"/>
      <c r="C392" s="22"/>
      <c r="D392" s="22"/>
      <c r="E392" s="22"/>
      <c r="F392" s="147"/>
      <c r="G392" s="148"/>
      <c r="H392" s="149"/>
      <c r="I392" s="150"/>
      <c r="J392" s="149"/>
      <c r="K392" s="149"/>
      <c r="L392" s="149"/>
      <c r="M392" s="149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ht="15.75" customHeight="1">
      <c r="A393" s="10"/>
      <c r="B393" s="22"/>
      <c r="C393" s="22"/>
      <c r="D393" s="22"/>
      <c r="E393" s="22"/>
      <c r="F393" s="147"/>
      <c r="G393" s="148"/>
      <c r="H393" s="149"/>
      <c r="I393" s="150"/>
      <c r="J393" s="149"/>
      <c r="K393" s="149"/>
      <c r="L393" s="149"/>
      <c r="M393" s="149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ht="15.75" customHeight="1">
      <c r="A394" s="10"/>
      <c r="B394" s="22"/>
      <c r="C394" s="22"/>
      <c r="D394" s="22"/>
      <c r="E394" s="22"/>
      <c r="F394" s="147"/>
      <c r="G394" s="148"/>
      <c r="H394" s="149"/>
      <c r="I394" s="150"/>
      <c r="J394" s="149"/>
      <c r="K394" s="149"/>
      <c r="L394" s="149"/>
      <c r="M394" s="149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ht="15.75" customHeight="1">
      <c r="A395" s="10"/>
      <c r="B395" s="22"/>
      <c r="C395" s="22"/>
      <c r="D395" s="22"/>
      <c r="E395" s="22"/>
      <c r="F395" s="147"/>
      <c r="G395" s="148"/>
      <c r="H395" s="149"/>
      <c r="I395" s="150"/>
      <c r="J395" s="149"/>
      <c r="K395" s="149"/>
      <c r="L395" s="149"/>
      <c r="M395" s="149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ht="15.75" customHeight="1">
      <c r="A396" s="10"/>
      <c r="B396" s="22"/>
      <c r="C396" s="22"/>
      <c r="D396" s="22"/>
      <c r="E396" s="22"/>
      <c r="F396" s="147"/>
      <c r="G396" s="148"/>
      <c r="H396" s="149"/>
      <c r="I396" s="150"/>
      <c r="J396" s="149"/>
      <c r="K396" s="149"/>
      <c r="L396" s="149"/>
      <c r="M396" s="149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ht="15.75" customHeight="1">
      <c r="A397" s="10"/>
      <c r="B397" s="22"/>
      <c r="C397" s="22"/>
      <c r="D397" s="22"/>
      <c r="E397" s="22"/>
      <c r="F397" s="147"/>
      <c r="G397" s="148"/>
      <c r="H397" s="149"/>
      <c r="I397" s="150"/>
      <c r="J397" s="149"/>
      <c r="K397" s="149"/>
      <c r="L397" s="149"/>
      <c r="M397" s="149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ht="15.75" customHeight="1">
      <c r="A398" s="10"/>
      <c r="B398" s="22"/>
      <c r="C398" s="22"/>
      <c r="D398" s="22"/>
      <c r="E398" s="22"/>
      <c r="F398" s="147"/>
      <c r="G398" s="148"/>
      <c r="H398" s="149"/>
      <c r="I398" s="150"/>
      <c r="J398" s="149"/>
      <c r="K398" s="149"/>
      <c r="L398" s="149"/>
      <c r="M398" s="149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ht="15.75" customHeight="1">
      <c r="A399" s="10"/>
      <c r="B399" s="22"/>
      <c r="C399" s="22"/>
      <c r="D399" s="22"/>
      <c r="E399" s="22"/>
      <c r="F399" s="147"/>
      <c r="G399" s="148"/>
      <c r="H399" s="149"/>
      <c r="I399" s="150"/>
      <c r="J399" s="149"/>
      <c r="K399" s="149"/>
      <c r="L399" s="149"/>
      <c r="M399" s="149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ht="15.75" customHeight="1">
      <c r="A400" s="10"/>
      <c r="B400" s="22"/>
      <c r="C400" s="22"/>
      <c r="D400" s="22"/>
      <c r="E400" s="22"/>
      <c r="F400" s="147"/>
      <c r="G400" s="148"/>
      <c r="H400" s="149"/>
      <c r="I400" s="150"/>
      <c r="J400" s="149"/>
      <c r="K400" s="149"/>
      <c r="L400" s="149"/>
      <c r="M400" s="149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ht="15.75" customHeight="1">
      <c r="A401" s="10"/>
      <c r="B401" s="22"/>
      <c r="C401" s="22"/>
      <c r="D401" s="22"/>
      <c r="E401" s="22"/>
      <c r="F401" s="147"/>
      <c r="G401" s="148"/>
      <c r="H401" s="149"/>
      <c r="I401" s="150"/>
      <c r="J401" s="149"/>
      <c r="K401" s="149"/>
      <c r="L401" s="149"/>
      <c r="M401" s="149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ht="15.75" customHeight="1">
      <c r="A402" s="10"/>
      <c r="B402" s="22"/>
      <c r="C402" s="22"/>
      <c r="D402" s="22"/>
      <c r="E402" s="22"/>
      <c r="F402" s="147"/>
      <c r="G402" s="148"/>
      <c r="H402" s="149"/>
      <c r="I402" s="150"/>
      <c r="J402" s="149"/>
      <c r="K402" s="149"/>
      <c r="L402" s="149"/>
      <c r="M402" s="149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ht="15.75" customHeight="1">
      <c r="A403" s="10"/>
      <c r="B403" s="22"/>
      <c r="C403" s="22"/>
      <c r="D403" s="22"/>
      <c r="E403" s="22"/>
      <c r="F403" s="147"/>
      <c r="G403" s="148"/>
      <c r="H403" s="149"/>
      <c r="I403" s="150"/>
      <c r="J403" s="149"/>
      <c r="K403" s="149"/>
      <c r="L403" s="149"/>
      <c r="M403" s="149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ht="15.75" customHeight="1">
      <c r="A404" s="10"/>
      <c r="B404" s="22"/>
      <c r="C404" s="22"/>
      <c r="D404" s="22"/>
      <c r="E404" s="22"/>
      <c r="F404" s="147"/>
      <c r="G404" s="148"/>
      <c r="H404" s="149"/>
      <c r="I404" s="150"/>
      <c r="J404" s="149"/>
      <c r="K404" s="149"/>
      <c r="L404" s="149"/>
      <c r="M404" s="149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ht="15.75" customHeight="1">
      <c r="A405" s="10"/>
      <c r="B405" s="22"/>
      <c r="C405" s="22"/>
      <c r="D405" s="22"/>
      <c r="E405" s="22"/>
      <c r="F405" s="147"/>
      <c r="G405" s="148"/>
      <c r="H405" s="149"/>
      <c r="I405" s="150"/>
      <c r="J405" s="149"/>
      <c r="K405" s="149"/>
      <c r="L405" s="149"/>
      <c r="M405" s="149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ht="15.75" customHeight="1">
      <c r="A406" s="10"/>
      <c r="B406" s="22"/>
      <c r="C406" s="22"/>
      <c r="D406" s="22"/>
      <c r="E406" s="22"/>
      <c r="F406" s="147"/>
      <c r="G406" s="148"/>
      <c r="H406" s="149"/>
      <c r="I406" s="150"/>
      <c r="J406" s="149"/>
      <c r="K406" s="149"/>
      <c r="L406" s="149"/>
      <c r="M406" s="149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ht="15.75" customHeight="1">
      <c r="A407" s="10"/>
      <c r="B407" s="22"/>
      <c r="C407" s="22"/>
      <c r="D407" s="22"/>
      <c r="E407" s="22"/>
      <c r="F407" s="147"/>
      <c r="G407" s="148"/>
      <c r="H407" s="149"/>
      <c r="I407" s="150"/>
      <c r="J407" s="149"/>
      <c r="K407" s="149"/>
      <c r="L407" s="149"/>
      <c r="M407" s="149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ht="15.75" customHeight="1">
      <c r="A408" s="10"/>
      <c r="B408" s="22"/>
      <c r="C408" s="22"/>
      <c r="D408" s="22"/>
      <c r="E408" s="22"/>
      <c r="F408" s="147"/>
      <c r="G408" s="148"/>
      <c r="H408" s="149"/>
      <c r="I408" s="150"/>
      <c r="J408" s="149"/>
      <c r="K408" s="149"/>
      <c r="L408" s="149"/>
      <c r="M408" s="149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ht="15.75" customHeight="1">
      <c r="A409" s="10"/>
      <c r="B409" s="22"/>
      <c r="C409" s="22"/>
      <c r="D409" s="22"/>
      <c r="E409" s="22"/>
      <c r="F409" s="147"/>
      <c r="G409" s="148"/>
      <c r="H409" s="149"/>
      <c r="I409" s="150"/>
      <c r="J409" s="149"/>
      <c r="K409" s="149"/>
      <c r="L409" s="149"/>
      <c r="M409" s="149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ht="15.75" customHeight="1">
      <c r="A410" s="10"/>
      <c r="B410" s="22"/>
      <c r="C410" s="22"/>
      <c r="D410" s="22"/>
      <c r="E410" s="22"/>
      <c r="F410" s="147"/>
      <c r="G410" s="148"/>
      <c r="H410" s="149"/>
      <c r="I410" s="150"/>
      <c r="J410" s="149"/>
      <c r="K410" s="149"/>
      <c r="L410" s="149"/>
      <c r="M410" s="149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ht="15.75" customHeight="1">
      <c r="A411" s="10"/>
      <c r="B411" s="22"/>
      <c r="C411" s="22"/>
      <c r="D411" s="22"/>
      <c r="E411" s="22"/>
      <c r="F411" s="147"/>
      <c r="G411" s="148"/>
      <c r="H411" s="149"/>
      <c r="I411" s="150"/>
      <c r="J411" s="149"/>
      <c r="K411" s="149"/>
      <c r="L411" s="149"/>
      <c r="M411" s="149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ht="15.75" customHeight="1">
      <c r="A412" s="10"/>
      <c r="B412" s="22"/>
      <c r="C412" s="22"/>
      <c r="D412" s="22"/>
      <c r="E412" s="22"/>
      <c r="F412" s="147"/>
      <c r="G412" s="148"/>
      <c r="H412" s="149"/>
      <c r="I412" s="150"/>
      <c r="J412" s="149"/>
      <c r="K412" s="149"/>
      <c r="L412" s="149"/>
      <c r="M412" s="149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ht="15.75" customHeight="1">
      <c r="A413" s="10"/>
      <c r="B413" s="22"/>
      <c r="C413" s="22"/>
      <c r="D413" s="22"/>
      <c r="E413" s="22"/>
      <c r="F413" s="147"/>
      <c r="G413" s="148"/>
      <c r="H413" s="149"/>
      <c r="I413" s="150"/>
      <c r="J413" s="149"/>
      <c r="K413" s="149"/>
      <c r="L413" s="149"/>
      <c r="M413" s="149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ht="15.75" customHeight="1">
      <c r="A414" s="10"/>
      <c r="B414" s="22"/>
      <c r="C414" s="22"/>
      <c r="D414" s="22"/>
      <c r="E414" s="22"/>
      <c r="F414" s="147"/>
      <c r="G414" s="148"/>
      <c r="H414" s="149"/>
      <c r="I414" s="150"/>
      <c r="J414" s="149"/>
      <c r="K414" s="149"/>
      <c r="L414" s="149"/>
      <c r="M414" s="149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ht="15.75" customHeight="1">
      <c r="A415" s="10"/>
      <c r="B415" s="22"/>
      <c r="C415" s="22"/>
      <c r="D415" s="22"/>
      <c r="E415" s="22"/>
      <c r="F415" s="147"/>
      <c r="G415" s="148"/>
      <c r="H415" s="149"/>
      <c r="I415" s="150"/>
      <c r="J415" s="149"/>
      <c r="K415" s="149"/>
      <c r="L415" s="149"/>
      <c r="M415" s="149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ht="15.75" customHeight="1">
      <c r="A416" s="10"/>
      <c r="B416" s="22"/>
      <c r="C416" s="22"/>
      <c r="D416" s="22"/>
      <c r="E416" s="22"/>
      <c r="F416" s="147"/>
      <c r="G416" s="148"/>
      <c r="H416" s="149"/>
      <c r="I416" s="150"/>
      <c r="J416" s="149"/>
      <c r="K416" s="149"/>
      <c r="L416" s="149"/>
      <c r="M416" s="149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ht="15.75" customHeight="1">
      <c r="A417" s="10"/>
      <c r="B417" s="22"/>
      <c r="C417" s="22"/>
      <c r="D417" s="22"/>
      <c r="E417" s="22"/>
      <c r="F417" s="147"/>
      <c r="G417" s="148"/>
      <c r="H417" s="149"/>
      <c r="I417" s="150"/>
      <c r="J417" s="149"/>
      <c r="K417" s="149"/>
      <c r="L417" s="149"/>
      <c r="M417" s="149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ht="15.75" customHeight="1">
      <c r="A418" s="10"/>
      <c r="B418" s="22"/>
      <c r="C418" s="22"/>
      <c r="D418" s="22"/>
      <c r="E418" s="22"/>
      <c r="F418" s="147"/>
      <c r="G418" s="148"/>
      <c r="H418" s="149"/>
      <c r="I418" s="150"/>
      <c r="J418" s="149"/>
      <c r="K418" s="149"/>
      <c r="L418" s="149"/>
      <c r="M418" s="149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ht="15.75" customHeight="1">
      <c r="A419" s="10"/>
      <c r="B419" s="22"/>
      <c r="C419" s="22"/>
      <c r="D419" s="22"/>
      <c r="E419" s="22"/>
      <c r="F419" s="147"/>
      <c r="G419" s="148"/>
      <c r="H419" s="149"/>
      <c r="I419" s="150"/>
      <c r="J419" s="149"/>
      <c r="K419" s="149"/>
      <c r="L419" s="149"/>
      <c r="M419" s="149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ht="15.75" customHeight="1">
      <c r="A420" s="10"/>
      <c r="B420" s="22"/>
      <c r="C420" s="22"/>
      <c r="D420" s="22"/>
      <c r="E420" s="22"/>
      <c r="F420" s="147"/>
      <c r="G420" s="148"/>
      <c r="H420" s="149"/>
      <c r="I420" s="150"/>
      <c r="J420" s="149"/>
      <c r="K420" s="149"/>
      <c r="L420" s="149"/>
      <c r="M420" s="149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ht="15.75" customHeight="1">
      <c r="A421" s="10"/>
      <c r="B421" s="22"/>
      <c r="C421" s="22"/>
      <c r="D421" s="22"/>
      <c r="E421" s="22"/>
      <c r="F421" s="147"/>
      <c r="G421" s="148"/>
      <c r="H421" s="149"/>
      <c r="I421" s="150"/>
      <c r="J421" s="149"/>
      <c r="K421" s="149"/>
      <c r="L421" s="149"/>
      <c r="M421" s="149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ht="15.75" customHeight="1">
      <c r="A422" s="10"/>
      <c r="B422" s="22"/>
      <c r="C422" s="22"/>
      <c r="D422" s="22"/>
      <c r="E422" s="22"/>
      <c r="F422" s="147"/>
      <c r="G422" s="148"/>
      <c r="H422" s="149"/>
      <c r="I422" s="150"/>
      <c r="J422" s="149"/>
      <c r="K422" s="149"/>
      <c r="L422" s="149"/>
      <c r="M422" s="149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ht="15.75" customHeight="1">
      <c r="A423" s="10"/>
      <c r="B423" s="22"/>
      <c r="C423" s="22"/>
      <c r="D423" s="22"/>
      <c r="E423" s="22"/>
      <c r="F423" s="147"/>
      <c r="G423" s="148"/>
      <c r="H423" s="149"/>
      <c r="I423" s="150"/>
      <c r="J423" s="149"/>
      <c r="K423" s="149"/>
      <c r="L423" s="149"/>
      <c r="M423" s="149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ht="15.75" customHeight="1">
      <c r="A424" s="10"/>
      <c r="B424" s="22"/>
      <c r="C424" s="22"/>
      <c r="D424" s="22"/>
      <c r="E424" s="22"/>
      <c r="F424" s="147"/>
      <c r="G424" s="148"/>
      <c r="H424" s="149"/>
      <c r="I424" s="150"/>
      <c r="J424" s="149"/>
      <c r="K424" s="149"/>
      <c r="L424" s="149"/>
      <c r="M424" s="149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ht="15.75" customHeight="1">
      <c r="A425" s="10"/>
      <c r="B425" s="22"/>
      <c r="C425" s="22"/>
      <c r="D425" s="22"/>
      <c r="E425" s="22"/>
      <c r="F425" s="147"/>
      <c r="G425" s="148"/>
      <c r="H425" s="149"/>
      <c r="I425" s="150"/>
      <c r="J425" s="149"/>
      <c r="K425" s="149"/>
      <c r="L425" s="149"/>
      <c r="M425" s="149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ht="15.75" customHeight="1">
      <c r="A426" s="10"/>
      <c r="B426" s="22"/>
      <c r="C426" s="22"/>
      <c r="D426" s="22"/>
      <c r="E426" s="22"/>
      <c r="F426" s="147"/>
      <c r="G426" s="148"/>
      <c r="H426" s="149"/>
      <c r="I426" s="150"/>
      <c r="J426" s="149"/>
      <c r="K426" s="149"/>
      <c r="L426" s="149"/>
      <c r="M426" s="149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ht="15.75" customHeight="1">
      <c r="A427" s="10"/>
      <c r="B427" s="22"/>
      <c r="C427" s="22"/>
      <c r="D427" s="22"/>
      <c r="E427" s="22"/>
      <c r="F427" s="147"/>
      <c r="G427" s="148"/>
      <c r="H427" s="149"/>
      <c r="I427" s="150"/>
      <c r="J427" s="149"/>
      <c r="K427" s="149"/>
      <c r="L427" s="149"/>
      <c r="M427" s="149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ht="15.75" customHeight="1">
      <c r="A428" s="10"/>
      <c r="B428" s="22"/>
      <c r="C428" s="22"/>
      <c r="D428" s="22"/>
      <c r="E428" s="22"/>
      <c r="F428" s="147"/>
      <c r="G428" s="148"/>
      <c r="H428" s="149"/>
      <c r="I428" s="150"/>
      <c r="J428" s="149"/>
      <c r="K428" s="149"/>
      <c r="L428" s="149"/>
      <c r="M428" s="149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ht="15.75" customHeight="1">
      <c r="A429" s="10"/>
      <c r="B429" s="22"/>
      <c r="C429" s="22"/>
      <c r="D429" s="22"/>
      <c r="E429" s="22"/>
      <c r="F429" s="147"/>
      <c r="G429" s="148"/>
      <c r="H429" s="149"/>
      <c r="I429" s="150"/>
      <c r="J429" s="149"/>
      <c r="K429" s="149"/>
      <c r="L429" s="149"/>
      <c r="M429" s="149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ht="15.75" customHeight="1">
      <c r="A430" s="10"/>
      <c r="B430" s="22"/>
      <c r="C430" s="22"/>
      <c r="D430" s="22"/>
      <c r="E430" s="22"/>
      <c r="F430" s="147"/>
      <c r="G430" s="148"/>
      <c r="H430" s="149"/>
      <c r="I430" s="150"/>
      <c r="J430" s="149"/>
      <c r="K430" s="149"/>
      <c r="L430" s="149"/>
      <c r="M430" s="149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ht="15.75" customHeight="1">
      <c r="A431" s="10"/>
      <c r="B431" s="22"/>
      <c r="C431" s="22"/>
      <c r="D431" s="22"/>
      <c r="E431" s="22"/>
      <c r="F431" s="147"/>
      <c r="G431" s="148"/>
      <c r="H431" s="149"/>
      <c r="I431" s="150"/>
      <c r="J431" s="149"/>
      <c r="K431" s="149"/>
      <c r="L431" s="149"/>
      <c r="M431" s="149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ht="15.75" customHeight="1">
      <c r="A432" s="10"/>
      <c r="B432" s="22"/>
      <c r="C432" s="22"/>
      <c r="D432" s="22"/>
      <c r="E432" s="22"/>
      <c r="F432" s="147"/>
      <c r="G432" s="148"/>
      <c r="H432" s="149"/>
      <c r="I432" s="150"/>
      <c r="J432" s="149"/>
      <c r="K432" s="149"/>
      <c r="L432" s="149"/>
      <c r="M432" s="149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ht="15.75" customHeight="1">
      <c r="A433" s="10"/>
      <c r="B433" s="22"/>
      <c r="C433" s="22"/>
      <c r="D433" s="22"/>
      <c r="E433" s="22"/>
      <c r="F433" s="147"/>
      <c r="G433" s="148"/>
      <c r="H433" s="149"/>
      <c r="I433" s="150"/>
      <c r="J433" s="149"/>
      <c r="K433" s="149"/>
      <c r="L433" s="149"/>
      <c r="M433" s="149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ht="15.75" customHeight="1">
      <c r="A434" s="10"/>
      <c r="B434" s="22"/>
      <c r="C434" s="22"/>
      <c r="D434" s="22"/>
      <c r="E434" s="22"/>
      <c r="F434" s="147"/>
      <c r="G434" s="148"/>
      <c r="H434" s="149"/>
      <c r="I434" s="150"/>
      <c r="J434" s="149"/>
      <c r="K434" s="149"/>
      <c r="L434" s="149"/>
      <c r="M434" s="149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ht="15.75" customHeight="1">
      <c r="A435" s="10"/>
      <c r="B435" s="22"/>
      <c r="C435" s="22"/>
      <c r="D435" s="22"/>
      <c r="E435" s="22"/>
      <c r="F435" s="147"/>
      <c r="G435" s="148"/>
      <c r="H435" s="149"/>
      <c r="I435" s="150"/>
      <c r="J435" s="149"/>
      <c r="K435" s="149"/>
      <c r="L435" s="149"/>
      <c r="M435" s="149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ht="15.75" customHeight="1">
      <c r="A436" s="10"/>
      <c r="B436" s="22"/>
      <c r="C436" s="22"/>
      <c r="D436" s="22"/>
      <c r="E436" s="22"/>
      <c r="F436" s="147"/>
      <c r="G436" s="148"/>
      <c r="H436" s="149"/>
      <c r="I436" s="150"/>
      <c r="J436" s="149"/>
      <c r="K436" s="149"/>
      <c r="L436" s="149"/>
      <c r="M436" s="149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ht="15.75" customHeight="1">
      <c r="A437" s="10"/>
      <c r="B437" s="22"/>
      <c r="C437" s="22"/>
      <c r="D437" s="22"/>
      <c r="E437" s="22"/>
      <c r="F437" s="147"/>
      <c r="G437" s="148"/>
      <c r="H437" s="149"/>
      <c r="I437" s="150"/>
      <c r="J437" s="149"/>
      <c r="K437" s="149"/>
      <c r="L437" s="149"/>
      <c r="M437" s="149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ht="15.75" customHeight="1">
      <c r="A438" s="10"/>
      <c r="B438" s="22"/>
      <c r="C438" s="22"/>
      <c r="D438" s="22"/>
      <c r="E438" s="22"/>
      <c r="F438" s="147"/>
      <c r="G438" s="148"/>
      <c r="H438" s="149"/>
      <c r="I438" s="150"/>
      <c r="J438" s="149"/>
      <c r="K438" s="149"/>
      <c r="L438" s="149"/>
      <c r="M438" s="149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ht="15.75" customHeight="1">
      <c r="A439" s="10"/>
      <c r="B439" s="22"/>
      <c r="C439" s="22"/>
      <c r="D439" s="22"/>
      <c r="E439" s="22"/>
      <c r="F439" s="147"/>
      <c r="G439" s="148"/>
      <c r="H439" s="149"/>
      <c r="I439" s="150"/>
      <c r="J439" s="149"/>
      <c r="K439" s="149"/>
      <c r="L439" s="149"/>
      <c r="M439" s="149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ht="15.75" customHeight="1">
      <c r="A440" s="10"/>
      <c r="B440" s="22"/>
      <c r="C440" s="22"/>
      <c r="D440" s="22"/>
      <c r="E440" s="22"/>
      <c r="F440" s="147"/>
      <c r="G440" s="148"/>
      <c r="H440" s="149"/>
      <c r="I440" s="150"/>
      <c r="J440" s="149"/>
      <c r="K440" s="149"/>
      <c r="L440" s="149"/>
      <c r="M440" s="149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ht="15.75" customHeight="1">
      <c r="A441" s="10"/>
      <c r="B441" s="22"/>
      <c r="C441" s="22"/>
      <c r="D441" s="22"/>
      <c r="E441" s="22"/>
      <c r="F441" s="147"/>
      <c r="G441" s="148"/>
      <c r="H441" s="149"/>
      <c r="I441" s="150"/>
      <c r="J441" s="149"/>
      <c r="K441" s="149"/>
      <c r="L441" s="149"/>
      <c r="M441" s="149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ht="15.75" customHeight="1">
      <c r="A442" s="10"/>
      <c r="B442" s="22"/>
      <c r="C442" s="22"/>
      <c r="D442" s="22"/>
      <c r="E442" s="22"/>
      <c r="F442" s="147"/>
      <c r="G442" s="148"/>
      <c r="H442" s="149"/>
      <c r="I442" s="150"/>
      <c r="J442" s="149"/>
      <c r="K442" s="149"/>
      <c r="L442" s="149"/>
      <c r="M442" s="149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ht="15.75" customHeight="1">
      <c r="A443" s="10"/>
      <c r="B443" s="22"/>
      <c r="C443" s="22"/>
      <c r="D443" s="22"/>
      <c r="E443" s="22"/>
      <c r="F443" s="147"/>
      <c r="G443" s="148"/>
      <c r="H443" s="149"/>
      <c r="I443" s="150"/>
      <c r="J443" s="149"/>
      <c r="K443" s="149"/>
      <c r="L443" s="149"/>
      <c r="M443" s="149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ht="15.75" customHeight="1">
      <c r="A444" s="10"/>
      <c r="B444" s="22"/>
      <c r="C444" s="22"/>
      <c r="D444" s="22"/>
      <c r="E444" s="22"/>
      <c r="F444" s="147"/>
      <c r="G444" s="148"/>
      <c r="H444" s="149"/>
      <c r="I444" s="150"/>
      <c r="J444" s="149"/>
      <c r="K444" s="149"/>
      <c r="L444" s="149"/>
      <c r="M444" s="149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ht="15.75" customHeight="1">
      <c r="A445" s="10"/>
      <c r="B445" s="22"/>
      <c r="C445" s="22"/>
      <c r="D445" s="22"/>
      <c r="E445" s="22"/>
      <c r="F445" s="147"/>
      <c r="G445" s="148"/>
      <c r="H445" s="149"/>
      <c r="I445" s="150"/>
      <c r="J445" s="149"/>
      <c r="K445" s="149"/>
      <c r="L445" s="149"/>
      <c r="M445" s="149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ht="15.75" customHeight="1">
      <c r="A446" s="10"/>
      <c r="B446" s="22"/>
      <c r="C446" s="22"/>
      <c r="D446" s="22"/>
      <c r="E446" s="22"/>
      <c r="F446" s="147"/>
      <c r="G446" s="148"/>
      <c r="H446" s="149"/>
      <c r="I446" s="150"/>
      <c r="J446" s="149"/>
      <c r="K446" s="149"/>
      <c r="L446" s="149"/>
      <c r="M446" s="149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ht="15.75" customHeight="1">
      <c r="A447" s="10"/>
      <c r="B447" s="22"/>
      <c r="C447" s="22"/>
      <c r="D447" s="22"/>
      <c r="E447" s="22"/>
      <c r="F447" s="147"/>
      <c r="G447" s="148"/>
      <c r="H447" s="149"/>
      <c r="I447" s="150"/>
      <c r="J447" s="149"/>
      <c r="K447" s="149"/>
      <c r="L447" s="149"/>
      <c r="M447" s="149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ht="15.75" customHeight="1">
      <c r="A448" s="10"/>
      <c r="B448" s="22"/>
      <c r="C448" s="22"/>
      <c r="D448" s="22"/>
      <c r="E448" s="22"/>
      <c r="F448" s="147"/>
      <c r="G448" s="148"/>
      <c r="H448" s="149"/>
      <c r="I448" s="150"/>
      <c r="J448" s="149"/>
      <c r="K448" s="149"/>
      <c r="L448" s="149"/>
      <c r="M448" s="149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ht="15.75" customHeight="1">
      <c r="A449" s="10"/>
      <c r="B449" s="22"/>
      <c r="C449" s="22"/>
      <c r="D449" s="22"/>
      <c r="E449" s="22"/>
      <c r="F449" s="147"/>
      <c r="G449" s="148"/>
      <c r="H449" s="149"/>
      <c r="I449" s="150"/>
      <c r="J449" s="149"/>
      <c r="K449" s="149"/>
      <c r="L449" s="149"/>
      <c r="M449" s="149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ht="15.75" customHeight="1">
      <c r="A450" s="10"/>
      <c r="B450" s="22"/>
      <c r="C450" s="22"/>
      <c r="D450" s="22"/>
      <c r="E450" s="22"/>
      <c r="F450" s="147"/>
      <c r="G450" s="148"/>
      <c r="H450" s="149"/>
      <c r="I450" s="150"/>
      <c r="J450" s="149"/>
      <c r="K450" s="149"/>
      <c r="L450" s="149"/>
      <c r="M450" s="149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ht="15.75" customHeight="1">
      <c r="A451" s="10"/>
      <c r="B451" s="22"/>
      <c r="C451" s="22"/>
      <c r="D451" s="22"/>
      <c r="E451" s="22"/>
      <c r="F451" s="147"/>
      <c r="G451" s="148"/>
      <c r="H451" s="149"/>
      <c r="I451" s="150"/>
      <c r="J451" s="149"/>
      <c r="K451" s="149"/>
      <c r="L451" s="149"/>
      <c r="M451" s="149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ht="15.75" customHeight="1">
      <c r="A452" s="10"/>
      <c r="B452" s="22"/>
      <c r="C452" s="22"/>
      <c r="D452" s="22"/>
      <c r="E452" s="22"/>
      <c r="F452" s="147"/>
      <c r="G452" s="148"/>
      <c r="H452" s="149"/>
      <c r="I452" s="150"/>
      <c r="J452" s="149"/>
      <c r="K452" s="149"/>
      <c r="L452" s="149"/>
      <c r="M452" s="149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ht="15.75" customHeight="1">
      <c r="A453" s="10"/>
      <c r="B453" s="22"/>
      <c r="C453" s="22"/>
      <c r="D453" s="22"/>
      <c r="E453" s="22"/>
      <c r="F453" s="147"/>
      <c r="G453" s="148"/>
      <c r="H453" s="149"/>
      <c r="I453" s="150"/>
      <c r="J453" s="149"/>
      <c r="K453" s="149"/>
      <c r="L453" s="149"/>
      <c r="M453" s="149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ht="15.75" customHeight="1">
      <c r="A454" s="10"/>
      <c r="B454" s="22"/>
      <c r="C454" s="22"/>
      <c r="D454" s="22"/>
      <c r="E454" s="22"/>
      <c r="F454" s="147"/>
      <c r="G454" s="148"/>
      <c r="H454" s="149"/>
      <c r="I454" s="150"/>
      <c r="J454" s="149"/>
      <c r="K454" s="149"/>
      <c r="L454" s="149"/>
      <c r="M454" s="149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ht="15.75" customHeight="1">
      <c r="A455" s="10"/>
      <c r="B455" s="22"/>
      <c r="C455" s="22"/>
      <c r="D455" s="22"/>
      <c r="E455" s="22"/>
      <c r="F455" s="147"/>
      <c r="G455" s="148"/>
      <c r="H455" s="149"/>
      <c r="I455" s="150"/>
      <c r="J455" s="149"/>
      <c r="K455" s="149"/>
      <c r="L455" s="149"/>
      <c r="M455" s="149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ht="15.75" customHeight="1">
      <c r="A456" s="10"/>
      <c r="B456" s="22"/>
      <c r="C456" s="22"/>
      <c r="D456" s="22"/>
      <c r="E456" s="22"/>
      <c r="F456" s="147"/>
      <c r="G456" s="148"/>
      <c r="H456" s="149"/>
      <c r="I456" s="150"/>
      <c r="J456" s="149"/>
      <c r="K456" s="149"/>
      <c r="L456" s="149"/>
      <c r="M456" s="149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ht="15.75" customHeight="1">
      <c r="A457" s="10"/>
      <c r="B457" s="22"/>
      <c r="C457" s="22"/>
      <c r="D457" s="22"/>
      <c r="E457" s="22"/>
      <c r="F457" s="147"/>
      <c r="G457" s="148"/>
      <c r="H457" s="149"/>
      <c r="I457" s="150"/>
      <c r="J457" s="149"/>
      <c r="K457" s="149"/>
      <c r="L457" s="149"/>
      <c r="M457" s="149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ht="15.75" customHeight="1">
      <c r="A458" s="10"/>
      <c r="B458" s="22"/>
      <c r="C458" s="22"/>
      <c r="D458" s="22"/>
      <c r="E458" s="22"/>
      <c r="F458" s="147"/>
      <c r="G458" s="148"/>
      <c r="H458" s="149"/>
      <c r="I458" s="150"/>
      <c r="J458" s="149"/>
      <c r="K458" s="149"/>
      <c r="L458" s="149"/>
      <c r="M458" s="149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ht="15.75" customHeight="1">
      <c r="A459" s="10"/>
      <c r="B459" s="22"/>
      <c r="C459" s="22"/>
      <c r="D459" s="22"/>
      <c r="E459" s="22"/>
      <c r="F459" s="147"/>
      <c r="G459" s="148"/>
      <c r="H459" s="149"/>
      <c r="I459" s="150"/>
      <c r="J459" s="149"/>
      <c r="K459" s="149"/>
      <c r="L459" s="149"/>
      <c r="M459" s="149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ht="15.75" customHeight="1">
      <c r="A460" s="10"/>
      <c r="B460" s="22"/>
      <c r="C460" s="22"/>
      <c r="D460" s="22"/>
      <c r="E460" s="22"/>
      <c r="F460" s="147"/>
      <c r="G460" s="148"/>
      <c r="H460" s="149"/>
      <c r="I460" s="150"/>
      <c r="J460" s="149"/>
      <c r="K460" s="149"/>
      <c r="L460" s="149"/>
      <c r="M460" s="149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ht="15.75" customHeight="1">
      <c r="A461" s="10"/>
      <c r="B461" s="22"/>
      <c r="C461" s="22"/>
      <c r="D461" s="22"/>
      <c r="E461" s="22"/>
      <c r="F461" s="147"/>
      <c r="G461" s="148"/>
      <c r="H461" s="149"/>
      <c r="I461" s="150"/>
      <c r="J461" s="149"/>
      <c r="K461" s="149"/>
      <c r="L461" s="149"/>
      <c r="M461" s="149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ht="15.75" customHeight="1">
      <c r="A462" s="10"/>
      <c r="B462" s="22"/>
      <c r="C462" s="22"/>
      <c r="D462" s="22"/>
      <c r="E462" s="22"/>
      <c r="F462" s="147"/>
      <c r="G462" s="148"/>
      <c r="H462" s="149"/>
      <c r="I462" s="150"/>
      <c r="J462" s="149"/>
      <c r="K462" s="149"/>
      <c r="L462" s="149"/>
      <c r="M462" s="149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ht="15.75" customHeight="1">
      <c r="A463" s="10"/>
      <c r="B463" s="22"/>
      <c r="C463" s="22"/>
      <c r="D463" s="22"/>
      <c r="E463" s="22"/>
      <c r="F463" s="147"/>
      <c r="G463" s="148"/>
      <c r="H463" s="149"/>
      <c r="I463" s="150"/>
      <c r="J463" s="149"/>
      <c r="K463" s="149"/>
      <c r="L463" s="149"/>
      <c r="M463" s="149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ht="15.75" customHeight="1">
      <c r="A464" s="10"/>
      <c r="B464" s="22"/>
      <c r="C464" s="22"/>
      <c r="D464" s="22"/>
      <c r="E464" s="22"/>
      <c r="F464" s="147"/>
      <c r="G464" s="148"/>
      <c r="H464" s="149"/>
      <c r="I464" s="150"/>
      <c r="J464" s="149"/>
      <c r="K464" s="149"/>
      <c r="L464" s="149"/>
      <c r="M464" s="149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ht="15.75" customHeight="1">
      <c r="A465" s="10"/>
      <c r="B465" s="22"/>
      <c r="C465" s="22"/>
      <c r="D465" s="22"/>
      <c r="E465" s="22"/>
      <c r="F465" s="147"/>
      <c r="G465" s="148"/>
      <c r="H465" s="149"/>
      <c r="I465" s="150"/>
      <c r="J465" s="149"/>
      <c r="K465" s="149"/>
      <c r="L465" s="149"/>
      <c r="M465" s="149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ht="15.75" customHeight="1">
      <c r="A466" s="10"/>
      <c r="B466" s="22"/>
      <c r="C466" s="22"/>
      <c r="D466" s="22"/>
      <c r="E466" s="22"/>
      <c r="F466" s="147"/>
      <c r="G466" s="148"/>
      <c r="H466" s="149"/>
      <c r="I466" s="150"/>
      <c r="J466" s="149"/>
      <c r="K466" s="149"/>
      <c r="L466" s="149"/>
      <c r="M466" s="149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ht="15.75" customHeight="1">
      <c r="A467" s="10"/>
      <c r="B467" s="22"/>
      <c r="C467" s="22"/>
      <c r="D467" s="22"/>
      <c r="E467" s="22"/>
      <c r="F467" s="147"/>
      <c r="G467" s="148"/>
      <c r="H467" s="149"/>
      <c r="I467" s="150"/>
      <c r="J467" s="149"/>
      <c r="K467" s="149"/>
      <c r="L467" s="149"/>
      <c r="M467" s="149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ht="15.75" customHeight="1">
      <c r="A468" s="10"/>
      <c r="B468" s="22"/>
      <c r="C468" s="22"/>
      <c r="D468" s="22"/>
      <c r="E468" s="22"/>
      <c r="F468" s="147"/>
      <c r="G468" s="148"/>
      <c r="H468" s="149"/>
      <c r="I468" s="150"/>
      <c r="J468" s="149"/>
      <c r="K468" s="149"/>
      <c r="L468" s="149"/>
      <c r="M468" s="149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ht="15.75" customHeight="1">
      <c r="A469" s="10"/>
      <c r="B469" s="22"/>
      <c r="C469" s="22"/>
      <c r="D469" s="22"/>
      <c r="E469" s="22"/>
      <c r="F469" s="147"/>
      <c r="G469" s="148"/>
      <c r="H469" s="149"/>
      <c r="I469" s="150"/>
      <c r="J469" s="149"/>
      <c r="K469" s="149"/>
      <c r="L469" s="149"/>
      <c r="M469" s="149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ht="15.75" customHeight="1">
      <c r="A470" s="10"/>
      <c r="B470" s="22"/>
      <c r="C470" s="22"/>
      <c r="D470" s="22"/>
      <c r="E470" s="22"/>
      <c r="F470" s="147"/>
      <c r="G470" s="148"/>
      <c r="H470" s="149"/>
      <c r="I470" s="150"/>
      <c r="J470" s="149"/>
      <c r="K470" s="149"/>
      <c r="L470" s="149"/>
      <c r="M470" s="149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ht="15.75" customHeight="1">
      <c r="A471" s="10"/>
      <c r="B471" s="22"/>
      <c r="C471" s="22"/>
      <c r="D471" s="22"/>
      <c r="E471" s="22"/>
      <c r="F471" s="147"/>
      <c r="G471" s="148"/>
      <c r="H471" s="149"/>
      <c r="I471" s="150"/>
      <c r="J471" s="149"/>
      <c r="K471" s="149"/>
      <c r="L471" s="149"/>
      <c r="M471" s="149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ht="15.75" customHeight="1">
      <c r="A472" s="10"/>
      <c r="B472" s="22"/>
      <c r="C472" s="22"/>
      <c r="D472" s="22"/>
      <c r="E472" s="22"/>
      <c r="F472" s="147"/>
      <c r="G472" s="148"/>
      <c r="H472" s="149"/>
      <c r="I472" s="150"/>
      <c r="J472" s="149"/>
      <c r="K472" s="149"/>
      <c r="L472" s="149"/>
      <c r="M472" s="149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ht="15.75" customHeight="1">
      <c r="A473" s="10"/>
      <c r="B473" s="22"/>
      <c r="C473" s="22"/>
      <c r="D473" s="22"/>
      <c r="E473" s="22"/>
      <c r="F473" s="147"/>
      <c r="G473" s="148"/>
      <c r="H473" s="149"/>
      <c r="I473" s="150"/>
      <c r="J473" s="149"/>
      <c r="K473" s="149"/>
      <c r="L473" s="149"/>
      <c r="M473" s="149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ht="15.75" customHeight="1">
      <c r="A474" s="10"/>
      <c r="B474" s="22"/>
      <c r="C474" s="22"/>
      <c r="D474" s="22"/>
      <c r="E474" s="22"/>
      <c r="F474" s="147"/>
      <c r="G474" s="148"/>
      <c r="H474" s="149"/>
      <c r="I474" s="150"/>
      <c r="J474" s="149"/>
      <c r="K474" s="149"/>
      <c r="L474" s="149"/>
      <c r="M474" s="149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ht="15.75" customHeight="1">
      <c r="A475" s="10"/>
      <c r="B475" s="22"/>
      <c r="C475" s="22"/>
      <c r="D475" s="22"/>
      <c r="E475" s="22"/>
      <c r="F475" s="147"/>
      <c r="G475" s="148"/>
      <c r="H475" s="149"/>
      <c r="I475" s="150"/>
      <c r="J475" s="149"/>
      <c r="K475" s="149"/>
      <c r="L475" s="149"/>
      <c r="M475" s="149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ht="15.75" customHeight="1">
      <c r="A476" s="10"/>
      <c r="B476" s="22"/>
      <c r="C476" s="22"/>
      <c r="D476" s="22"/>
      <c r="E476" s="22"/>
      <c r="F476" s="147"/>
      <c r="G476" s="148"/>
      <c r="H476" s="149"/>
      <c r="I476" s="150"/>
      <c r="J476" s="149"/>
      <c r="K476" s="149"/>
      <c r="L476" s="149"/>
      <c r="M476" s="149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ht="15.75" customHeight="1">
      <c r="A477" s="10"/>
      <c r="B477" s="22"/>
      <c r="C477" s="22"/>
      <c r="D477" s="22"/>
      <c r="E477" s="22"/>
      <c r="F477" s="147"/>
      <c r="G477" s="148"/>
      <c r="H477" s="149"/>
      <c r="I477" s="150"/>
      <c r="J477" s="149"/>
      <c r="K477" s="149"/>
      <c r="L477" s="149"/>
      <c r="M477" s="149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ht="15.75" customHeight="1">
      <c r="A478" s="10"/>
      <c r="B478" s="22"/>
      <c r="C478" s="22"/>
      <c r="D478" s="22"/>
      <c r="E478" s="22"/>
      <c r="F478" s="147"/>
      <c r="G478" s="148"/>
      <c r="H478" s="149"/>
      <c r="I478" s="150"/>
      <c r="J478" s="149"/>
      <c r="K478" s="149"/>
      <c r="L478" s="149"/>
      <c r="M478" s="149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ht="15.75" customHeight="1">
      <c r="A479" s="10"/>
      <c r="B479" s="22"/>
      <c r="C479" s="22"/>
      <c r="D479" s="22"/>
      <c r="E479" s="22"/>
      <c r="F479" s="147"/>
      <c r="G479" s="148"/>
      <c r="H479" s="149"/>
      <c r="I479" s="150"/>
      <c r="J479" s="149"/>
      <c r="K479" s="149"/>
      <c r="L479" s="149"/>
      <c r="M479" s="149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ht="15.75" customHeight="1">
      <c r="A480" s="10"/>
      <c r="B480" s="22"/>
      <c r="C480" s="22"/>
      <c r="D480" s="22"/>
      <c r="E480" s="22"/>
      <c r="F480" s="147"/>
      <c r="G480" s="148"/>
      <c r="H480" s="149"/>
      <c r="I480" s="150"/>
      <c r="J480" s="149"/>
      <c r="K480" s="149"/>
      <c r="L480" s="149"/>
      <c r="M480" s="149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ht="15.75" customHeight="1">
      <c r="A481" s="10"/>
      <c r="B481" s="22"/>
      <c r="C481" s="22"/>
      <c r="D481" s="22"/>
      <c r="E481" s="22"/>
      <c r="F481" s="147"/>
      <c r="G481" s="148"/>
      <c r="H481" s="149"/>
      <c r="I481" s="150"/>
      <c r="J481" s="149"/>
      <c r="K481" s="149"/>
      <c r="L481" s="149"/>
      <c r="M481" s="149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ht="15.75" customHeight="1">
      <c r="A482" s="10"/>
      <c r="B482" s="22"/>
      <c r="C482" s="22"/>
      <c r="D482" s="22"/>
      <c r="E482" s="22"/>
      <c r="F482" s="147"/>
      <c r="G482" s="148"/>
      <c r="H482" s="149"/>
      <c r="I482" s="150"/>
      <c r="J482" s="149"/>
      <c r="K482" s="149"/>
      <c r="L482" s="149"/>
      <c r="M482" s="149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ht="15.75" customHeight="1">
      <c r="A483" s="10"/>
      <c r="B483" s="22"/>
      <c r="C483" s="22"/>
      <c r="D483" s="22"/>
      <c r="E483" s="22"/>
      <c r="F483" s="147"/>
      <c r="G483" s="148"/>
      <c r="H483" s="149"/>
      <c r="I483" s="150"/>
      <c r="J483" s="149"/>
      <c r="K483" s="149"/>
      <c r="L483" s="149"/>
      <c r="M483" s="149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ht="15.75" customHeight="1">
      <c r="A484" s="10"/>
      <c r="B484" s="22"/>
      <c r="C484" s="22"/>
      <c r="D484" s="22"/>
      <c r="E484" s="22"/>
      <c r="F484" s="147"/>
      <c r="G484" s="148"/>
      <c r="H484" s="149"/>
      <c r="I484" s="150"/>
      <c r="J484" s="149"/>
      <c r="K484" s="149"/>
      <c r="L484" s="149"/>
      <c r="M484" s="149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ht="15.75" customHeight="1">
      <c r="A485" s="10"/>
      <c r="B485" s="22"/>
      <c r="C485" s="22"/>
      <c r="D485" s="22"/>
      <c r="E485" s="22"/>
      <c r="F485" s="147"/>
      <c r="G485" s="148"/>
      <c r="H485" s="149"/>
      <c r="I485" s="150"/>
      <c r="J485" s="149"/>
      <c r="K485" s="149"/>
      <c r="L485" s="149"/>
      <c r="M485" s="149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ht="15.75" customHeight="1">
      <c r="A486" s="10"/>
      <c r="B486" s="22"/>
      <c r="C486" s="22"/>
      <c r="D486" s="22"/>
      <c r="E486" s="22"/>
      <c r="F486" s="147"/>
      <c r="G486" s="148"/>
      <c r="H486" s="149"/>
      <c r="I486" s="150"/>
      <c r="J486" s="149"/>
      <c r="K486" s="149"/>
      <c r="L486" s="149"/>
      <c r="M486" s="149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ht="15.75" customHeight="1">
      <c r="A487" s="10"/>
      <c r="B487" s="22"/>
      <c r="C487" s="22"/>
      <c r="D487" s="22"/>
      <c r="E487" s="22"/>
      <c r="F487" s="147"/>
      <c r="G487" s="148"/>
      <c r="H487" s="149"/>
      <c r="I487" s="150"/>
      <c r="J487" s="149"/>
      <c r="K487" s="149"/>
      <c r="L487" s="149"/>
      <c r="M487" s="149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ht="15.75" customHeight="1">
      <c r="A488" s="10"/>
      <c r="B488" s="22"/>
      <c r="C488" s="22"/>
      <c r="D488" s="22"/>
      <c r="E488" s="22"/>
      <c r="F488" s="147"/>
      <c r="G488" s="148"/>
      <c r="H488" s="149"/>
      <c r="I488" s="150"/>
      <c r="J488" s="149"/>
      <c r="K488" s="149"/>
      <c r="L488" s="149"/>
      <c r="M488" s="149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ht="15.75" customHeight="1">
      <c r="A489" s="10"/>
      <c r="B489" s="22"/>
      <c r="C489" s="22"/>
      <c r="D489" s="22"/>
      <c r="E489" s="22"/>
      <c r="F489" s="147"/>
      <c r="G489" s="148"/>
      <c r="H489" s="149"/>
      <c r="I489" s="150"/>
      <c r="J489" s="149"/>
      <c r="K489" s="149"/>
      <c r="L489" s="149"/>
      <c r="M489" s="149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ht="15.75" customHeight="1">
      <c r="A490" s="10"/>
      <c r="B490" s="22"/>
      <c r="C490" s="22"/>
      <c r="D490" s="22"/>
      <c r="E490" s="22"/>
      <c r="F490" s="147"/>
      <c r="G490" s="148"/>
      <c r="H490" s="149"/>
      <c r="I490" s="150"/>
      <c r="J490" s="149"/>
      <c r="K490" s="149"/>
      <c r="L490" s="149"/>
      <c r="M490" s="149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ht="15.75" customHeight="1">
      <c r="A491" s="10"/>
      <c r="B491" s="22"/>
      <c r="C491" s="22"/>
      <c r="D491" s="22"/>
      <c r="E491" s="22"/>
      <c r="F491" s="147"/>
      <c r="G491" s="148"/>
      <c r="H491" s="149"/>
      <c r="I491" s="150"/>
      <c r="J491" s="149"/>
      <c r="K491" s="149"/>
      <c r="L491" s="149"/>
      <c r="M491" s="149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ht="15.75" customHeight="1">
      <c r="A492" s="10"/>
      <c r="B492" s="22"/>
      <c r="C492" s="22"/>
      <c r="D492" s="22"/>
      <c r="E492" s="22"/>
      <c r="F492" s="147"/>
      <c r="G492" s="148"/>
      <c r="H492" s="149"/>
      <c r="I492" s="150"/>
      <c r="J492" s="149"/>
      <c r="K492" s="149"/>
      <c r="L492" s="149"/>
      <c r="M492" s="149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ht="15.75" customHeight="1">
      <c r="A493" s="10"/>
      <c r="B493" s="22"/>
      <c r="C493" s="22"/>
      <c r="D493" s="22"/>
      <c r="E493" s="22"/>
      <c r="F493" s="147"/>
      <c r="G493" s="148"/>
      <c r="H493" s="149"/>
      <c r="I493" s="150"/>
      <c r="J493" s="149"/>
      <c r="K493" s="149"/>
      <c r="L493" s="149"/>
      <c r="M493" s="149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ht="15.75" customHeight="1">
      <c r="A494" s="10"/>
      <c r="B494" s="22"/>
      <c r="C494" s="22"/>
      <c r="D494" s="22"/>
      <c r="E494" s="22"/>
      <c r="F494" s="147"/>
      <c r="G494" s="148"/>
      <c r="H494" s="149"/>
      <c r="I494" s="150"/>
      <c r="J494" s="149"/>
      <c r="K494" s="149"/>
      <c r="L494" s="149"/>
      <c r="M494" s="149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ht="15.75" customHeight="1">
      <c r="A495" s="10"/>
      <c r="B495" s="22"/>
      <c r="C495" s="22"/>
      <c r="D495" s="22"/>
      <c r="E495" s="22"/>
      <c r="F495" s="147"/>
      <c r="G495" s="148"/>
      <c r="H495" s="149"/>
      <c r="I495" s="150"/>
      <c r="J495" s="149"/>
      <c r="K495" s="149"/>
      <c r="L495" s="149"/>
      <c r="M495" s="149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ht="15.75" customHeight="1">
      <c r="A496" s="10"/>
      <c r="B496" s="22"/>
      <c r="C496" s="22"/>
      <c r="D496" s="22"/>
      <c r="E496" s="22"/>
      <c r="F496" s="147"/>
      <c r="G496" s="148"/>
      <c r="H496" s="149"/>
      <c r="I496" s="150"/>
      <c r="J496" s="149"/>
      <c r="K496" s="149"/>
      <c r="L496" s="149"/>
      <c r="M496" s="149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ht="15.75" customHeight="1">
      <c r="A497" s="10"/>
      <c r="B497" s="22"/>
      <c r="C497" s="22"/>
      <c r="D497" s="22"/>
      <c r="E497" s="22"/>
      <c r="F497" s="147"/>
      <c r="G497" s="148"/>
      <c r="H497" s="149"/>
      <c r="I497" s="150"/>
      <c r="J497" s="149"/>
      <c r="K497" s="149"/>
      <c r="L497" s="149"/>
      <c r="M497" s="149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ht="15.75" customHeight="1">
      <c r="A498" s="10"/>
      <c r="B498" s="22"/>
      <c r="C498" s="22"/>
      <c r="D498" s="22"/>
      <c r="E498" s="22"/>
      <c r="F498" s="147"/>
      <c r="G498" s="148"/>
      <c r="H498" s="149"/>
      <c r="I498" s="150"/>
      <c r="J498" s="149"/>
      <c r="K498" s="149"/>
      <c r="L498" s="149"/>
      <c r="M498" s="149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ht="15.75" customHeight="1">
      <c r="A499" s="10"/>
      <c r="B499" s="22"/>
      <c r="C499" s="22"/>
      <c r="D499" s="22"/>
      <c r="E499" s="22"/>
      <c r="F499" s="147"/>
      <c r="G499" s="148"/>
      <c r="H499" s="149"/>
      <c r="I499" s="150"/>
      <c r="J499" s="149"/>
      <c r="K499" s="149"/>
      <c r="L499" s="149"/>
      <c r="M499" s="149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ht="15.75" customHeight="1">
      <c r="A500" s="10"/>
      <c r="B500" s="22"/>
      <c r="C500" s="22"/>
      <c r="D500" s="22"/>
      <c r="E500" s="22"/>
      <c r="F500" s="147"/>
      <c r="G500" s="148"/>
      <c r="H500" s="149"/>
      <c r="I500" s="150"/>
      <c r="J500" s="149"/>
      <c r="K500" s="149"/>
      <c r="L500" s="149"/>
      <c r="M500" s="149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ht="15.75" customHeight="1">
      <c r="A501" s="10"/>
      <c r="B501" s="22"/>
      <c r="C501" s="22"/>
      <c r="D501" s="22"/>
      <c r="E501" s="22"/>
      <c r="F501" s="147"/>
      <c r="G501" s="148"/>
      <c r="H501" s="149"/>
      <c r="I501" s="150"/>
      <c r="J501" s="149"/>
      <c r="K501" s="149"/>
      <c r="L501" s="149"/>
      <c r="M501" s="149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ht="15.75" customHeight="1">
      <c r="A502" s="10"/>
      <c r="B502" s="22"/>
      <c r="C502" s="22"/>
      <c r="D502" s="22"/>
      <c r="E502" s="22"/>
      <c r="F502" s="147"/>
      <c r="G502" s="148"/>
      <c r="H502" s="149"/>
      <c r="I502" s="150"/>
      <c r="J502" s="149"/>
      <c r="K502" s="149"/>
      <c r="L502" s="149"/>
      <c r="M502" s="149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ht="15.75" customHeight="1">
      <c r="A503" s="10"/>
      <c r="B503" s="22"/>
      <c r="C503" s="22"/>
      <c r="D503" s="22"/>
      <c r="E503" s="22"/>
      <c r="F503" s="147"/>
      <c r="G503" s="148"/>
      <c r="H503" s="149"/>
      <c r="I503" s="150"/>
      <c r="J503" s="149"/>
      <c r="K503" s="149"/>
      <c r="L503" s="149"/>
      <c r="M503" s="149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ht="15.75" customHeight="1">
      <c r="A504" s="10"/>
      <c r="B504" s="22"/>
      <c r="C504" s="22"/>
      <c r="D504" s="22"/>
      <c r="E504" s="22"/>
      <c r="F504" s="147"/>
      <c r="G504" s="148"/>
      <c r="H504" s="149"/>
      <c r="I504" s="150"/>
      <c r="J504" s="149"/>
      <c r="K504" s="149"/>
      <c r="L504" s="149"/>
      <c r="M504" s="149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ht="15.75" customHeight="1">
      <c r="A505" s="10"/>
      <c r="B505" s="22"/>
      <c r="C505" s="22"/>
      <c r="D505" s="22"/>
      <c r="E505" s="22"/>
      <c r="F505" s="147"/>
      <c r="G505" s="148"/>
      <c r="H505" s="149"/>
      <c r="I505" s="150"/>
      <c r="J505" s="149"/>
      <c r="K505" s="149"/>
      <c r="L505" s="149"/>
      <c r="M505" s="149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ht="15.75" customHeight="1">
      <c r="A506" s="10"/>
      <c r="B506" s="22"/>
      <c r="C506" s="22"/>
      <c r="D506" s="22"/>
      <c r="E506" s="22"/>
      <c r="F506" s="147"/>
      <c r="G506" s="148"/>
      <c r="H506" s="149"/>
      <c r="I506" s="150"/>
      <c r="J506" s="149"/>
      <c r="K506" s="149"/>
      <c r="L506" s="149"/>
      <c r="M506" s="149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ht="15.75" customHeight="1">
      <c r="A507" s="10"/>
      <c r="B507" s="22"/>
      <c r="C507" s="22"/>
      <c r="D507" s="22"/>
      <c r="E507" s="22"/>
      <c r="F507" s="147"/>
      <c r="G507" s="148"/>
      <c r="H507" s="149"/>
      <c r="I507" s="150"/>
      <c r="J507" s="149"/>
      <c r="K507" s="149"/>
      <c r="L507" s="149"/>
      <c r="M507" s="149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ht="15.75" customHeight="1">
      <c r="A508" s="10"/>
      <c r="B508" s="22"/>
      <c r="C508" s="22"/>
      <c r="D508" s="22"/>
      <c r="E508" s="22"/>
      <c r="F508" s="147"/>
      <c r="G508" s="148"/>
      <c r="H508" s="149"/>
      <c r="I508" s="150"/>
      <c r="J508" s="149"/>
      <c r="K508" s="149"/>
      <c r="L508" s="149"/>
      <c r="M508" s="149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ht="15.75" customHeight="1">
      <c r="A509" s="10"/>
      <c r="B509" s="22"/>
      <c r="C509" s="22"/>
      <c r="D509" s="22"/>
      <c r="E509" s="22"/>
      <c r="F509" s="147"/>
      <c r="G509" s="148"/>
      <c r="H509" s="149"/>
      <c r="I509" s="150"/>
      <c r="J509" s="149"/>
      <c r="K509" s="149"/>
      <c r="L509" s="149"/>
      <c r="M509" s="149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ht="15.75" customHeight="1">
      <c r="A510" s="10"/>
      <c r="B510" s="22"/>
      <c r="C510" s="22"/>
      <c r="D510" s="22"/>
      <c r="E510" s="22"/>
      <c r="F510" s="147"/>
      <c r="G510" s="148"/>
      <c r="H510" s="149"/>
      <c r="I510" s="150"/>
      <c r="J510" s="149"/>
      <c r="K510" s="149"/>
      <c r="L510" s="149"/>
      <c r="M510" s="149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ht="15.75" customHeight="1">
      <c r="A511" s="10"/>
      <c r="B511" s="22"/>
      <c r="C511" s="22"/>
      <c r="D511" s="22"/>
      <c r="E511" s="22"/>
      <c r="F511" s="147"/>
      <c r="G511" s="148"/>
      <c r="H511" s="149"/>
      <c r="I511" s="150"/>
      <c r="J511" s="149"/>
      <c r="K511" s="149"/>
      <c r="L511" s="149"/>
      <c r="M511" s="149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ht="15.75" customHeight="1">
      <c r="A512" s="10"/>
      <c r="B512" s="22"/>
      <c r="C512" s="22"/>
      <c r="D512" s="22"/>
      <c r="E512" s="22"/>
      <c r="F512" s="147"/>
      <c r="G512" s="148"/>
      <c r="H512" s="149"/>
      <c r="I512" s="150"/>
      <c r="J512" s="149"/>
      <c r="K512" s="149"/>
      <c r="L512" s="149"/>
      <c r="M512" s="149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ht="15.75" customHeight="1">
      <c r="A513" s="10"/>
      <c r="B513" s="22"/>
      <c r="C513" s="22"/>
      <c r="D513" s="22"/>
      <c r="E513" s="22"/>
      <c r="F513" s="147"/>
      <c r="G513" s="148"/>
      <c r="H513" s="149"/>
      <c r="I513" s="150"/>
      <c r="J513" s="149"/>
      <c r="K513" s="149"/>
      <c r="L513" s="149"/>
      <c r="M513" s="149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ht="15.75" customHeight="1">
      <c r="A514" s="10"/>
      <c r="B514" s="22"/>
      <c r="C514" s="22"/>
      <c r="D514" s="22"/>
      <c r="E514" s="22"/>
      <c r="F514" s="147"/>
      <c r="G514" s="148"/>
      <c r="H514" s="149"/>
      <c r="I514" s="150"/>
      <c r="J514" s="149"/>
      <c r="K514" s="149"/>
      <c r="L514" s="149"/>
      <c r="M514" s="149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ht="15.75" customHeight="1">
      <c r="A515" s="10"/>
      <c r="B515" s="22"/>
      <c r="C515" s="22"/>
      <c r="D515" s="22"/>
      <c r="E515" s="22"/>
      <c r="F515" s="147"/>
      <c r="G515" s="148"/>
      <c r="H515" s="149"/>
      <c r="I515" s="150"/>
      <c r="J515" s="149"/>
      <c r="K515" s="149"/>
      <c r="L515" s="149"/>
      <c r="M515" s="149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ht="15.75" customHeight="1">
      <c r="A516" s="10"/>
      <c r="B516" s="22"/>
      <c r="C516" s="22"/>
      <c r="D516" s="22"/>
      <c r="E516" s="22"/>
      <c r="F516" s="147"/>
      <c r="G516" s="148"/>
      <c r="H516" s="149"/>
      <c r="I516" s="150"/>
      <c r="J516" s="149"/>
      <c r="K516" s="149"/>
      <c r="L516" s="149"/>
      <c r="M516" s="149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ht="15.75" customHeight="1">
      <c r="A517" s="10"/>
      <c r="B517" s="22"/>
      <c r="C517" s="22"/>
      <c r="D517" s="22"/>
      <c r="E517" s="22"/>
      <c r="F517" s="147"/>
      <c r="G517" s="148"/>
      <c r="H517" s="149"/>
      <c r="I517" s="150"/>
      <c r="J517" s="149"/>
      <c r="K517" s="149"/>
      <c r="L517" s="149"/>
      <c r="M517" s="149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ht="15.75" customHeight="1">
      <c r="A518" s="10"/>
      <c r="B518" s="22"/>
      <c r="C518" s="22"/>
      <c r="D518" s="22"/>
      <c r="E518" s="22"/>
      <c r="F518" s="147"/>
      <c r="G518" s="148"/>
      <c r="H518" s="149"/>
      <c r="I518" s="150"/>
      <c r="J518" s="149"/>
      <c r="K518" s="149"/>
      <c r="L518" s="149"/>
      <c r="M518" s="149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ht="15.75" customHeight="1">
      <c r="A519" s="10"/>
      <c r="B519" s="22"/>
      <c r="C519" s="22"/>
      <c r="D519" s="22"/>
      <c r="E519" s="22"/>
      <c r="F519" s="147"/>
      <c r="G519" s="148"/>
      <c r="H519" s="149"/>
      <c r="I519" s="150"/>
      <c r="J519" s="149"/>
      <c r="K519" s="149"/>
      <c r="L519" s="149"/>
      <c r="M519" s="149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ht="15.75" customHeight="1">
      <c r="A520" s="10"/>
      <c r="B520" s="22"/>
      <c r="C520" s="22"/>
      <c r="D520" s="22"/>
      <c r="E520" s="22"/>
      <c r="F520" s="147"/>
      <c r="G520" s="148"/>
      <c r="H520" s="149"/>
      <c r="I520" s="150"/>
      <c r="J520" s="149"/>
      <c r="K520" s="149"/>
      <c r="L520" s="149"/>
      <c r="M520" s="149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ht="15.75" customHeight="1">
      <c r="A521" s="10"/>
      <c r="B521" s="22"/>
      <c r="C521" s="22"/>
      <c r="D521" s="22"/>
      <c r="E521" s="22"/>
      <c r="F521" s="147"/>
      <c r="G521" s="148"/>
      <c r="H521" s="149"/>
      <c r="I521" s="150"/>
      <c r="J521" s="149"/>
      <c r="K521" s="149"/>
      <c r="L521" s="149"/>
      <c r="M521" s="149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ht="15.75" customHeight="1">
      <c r="A522" s="10"/>
      <c r="B522" s="22"/>
      <c r="C522" s="22"/>
      <c r="D522" s="22"/>
      <c r="E522" s="22"/>
      <c r="F522" s="147"/>
      <c r="G522" s="148"/>
      <c r="H522" s="149"/>
      <c r="I522" s="150"/>
      <c r="J522" s="149"/>
      <c r="K522" s="149"/>
      <c r="L522" s="149"/>
      <c r="M522" s="149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ht="15.75" customHeight="1">
      <c r="A523" s="10"/>
      <c r="B523" s="22"/>
      <c r="C523" s="22"/>
      <c r="D523" s="22"/>
      <c r="E523" s="22"/>
      <c r="F523" s="147"/>
      <c r="G523" s="148"/>
      <c r="H523" s="149"/>
      <c r="I523" s="150"/>
      <c r="J523" s="149"/>
      <c r="K523" s="149"/>
      <c r="L523" s="149"/>
      <c r="M523" s="149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ht="15.75" customHeight="1">
      <c r="A524" s="10"/>
      <c r="B524" s="22"/>
      <c r="C524" s="22"/>
      <c r="D524" s="22"/>
      <c r="E524" s="22"/>
      <c r="F524" s="147"/>
      <c r="G524" s="148"/>
      <c r="H524" s="149"/>
      <c r="I524" s="150"/>
      <c r="J524" s="149"/>
      <c r="K524" s="149"/>
      <c r="L524" s="149"/>
      <c r="M524" s="149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ht="15.75" customHeight="1">
      <c r="A525" s="10"/>
      <c r="B525" s="22"/>
      <c r="C525" s="22"/>
      <c r="D525" s="22"/>
      <c r="E525" s="22"/>
      <c r="F525" s="147"/>
      <c r="G525" s="148"/>
      <c r="H525" s="149"/>
      <c r="I525" s="150"/>
      <c r="J525" s="149"/>
      <c r="K525" s="149"/>
      <c r="L525" s="149"/>
      <c r="M525" s="149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ht="15.75" customHeight="1">
      <c r="A526" s="10"/>
      <c r="B526" s="22"/>
      <c r="C526" s="22"/>
      <c r="D526" s="22"/>
      <c r="E526" s="22"/>
      <c r="F526" s="147"/>
      <c r="G526" s="148"/>
      <c r="H526" s="149"/>
      <c r="I526" s="150"/>
      <c r="J526" s="149"/>
      <c r="K526" s="149"/>
      <c r="L526" s="149"/>
      <c r="M526" s="149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ht="15.75" customHeight="1">
      <c r="A527" s="10"/>
      <c r="B527" s="22"/>
      <c r="C527" s="22"/>
      <c r="D527" s="22"/>
      <c r="E527" s="22"/>
      <c r="F527" s="147"/>
      <c r="G527" s="148"/>
      <c r="H527" s="149"/>
      <c r="I527" s="150"/>
      <c r="J527" s="149"/>
      <c r="K527" s="149"/>
      <c r="L527" s="149"/>
      <c r="M527" s="149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ht="15.75" customHeight="1">
      <c r="A528" s="10"/>
      <c r="B528" s="22"/>
      <c r="C528" s="22"/>
      <c r="D528" s="22"/>
      <c r="E528" s="22"/>
      <c r="F528" s="147"/>
      <c r="G528" s="148"/>
      <c r="H528" s="149"/>
      <c r="I528" s="150"/>
      <c r="J528" s="149"/>
      <c r="K528" s="149"/>
      <c r="L528" s="149"/>
      <c r="M528" s="149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ht="15.75" customHeight="1">
      <c r="A529" s="10"/>
      <c r="B529" s="22"/>
      <c r="C529" s="22"/>
      <c r="D529" s="22"/>
      <c r="E529" s="22"/>
      <c r="F529" s="147"/>
      <c r="G529" s="148"/>
      <c r="H529" s="149"/>
      <c r="I529" s="150"/>
      <c r="J529" s="149"/>
      <c r="K529" s="149"/>
      <c r="L529" s="149"/>
      <c r="M529" s="149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ht="15.75" customHeight="1">
      <c r="A530" s="10"/>
      <c r="B530" s="22"/>
      <c r="C530" s="22"/>
      <c r="D530" s="22"/>
      <c r="E530" s="22"/>
      <c r="F530" s="147"/>
      <c r="G530" s="148"/>
      <c r="H530" s="149"/>
      <c r="I530" s="150"/>
      <c r="J530" s="149"/>
      <c r="K530" s="149"/>
      <c r="L530" s="149"/>
      <c r="M530" s="149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ht="15.75" customHeight="1">
      <c r="A531" s="10"/>
      <c r="B531" s="22"/>
      <c r="C531" s="22"/>
      <c r="D531" s="22"/>
      <c r="E531" s="22"/>
      <c r="F531" s="147"/>
      <c r="G531" s="148"/>
      <c r="H531" s="149"/>
      <c r="I531" s="150"/>
      <c r="J531" s="149"/>
      <c r="K531" s="149"/>
      <c r="L531" s="149"/>
      <c r="M531" s="149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ht="15.75" customHeight="1">
      <c r="A532" s="10"/>
      <c r="B532" s="22"/>
      <c r="C532" s="22"/>
      <c r="D532" s="22"/>
      <c r="E532" s="22"/>
      <c r="F532" s="147"/>
      <c r="G532" s="148"/>
      <c r="H532" s="149"/>
      <c r="I532" s="150"/>
      <c r="J532" s="149"/>
      <c r="K532" s="149"/>
      <c r="L532" s="149"/>
      <c r="M532" s="149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ht="15.75" customHeight="1">
      <c r="A533" s="10"/>
      <c r="B533" s="22"/>
      <c r="C533" s="22"/>
      <c r="D533" s="22"/>
      <c r="E533" s="22"/>
      <c r="F533" s="147"/>
      <c r="G533" s="148"/>
      <c r="H533" s="149"/>
      <c r="I533" s="150"/>
      <c r="J533" s="149"/>
      <c r="K533" s="149"/>
      <c r="L533" s="149"/>
      <c r="M533" s="149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ht="15.75" customHeight="1">
      <c r="A534" s="10"/>
      <c r="B534" s="22"/>
      <c r="C534" s="22"/>
      <c r="D534" s="22"/>
      <c r="E534" s="22"/>
      <c r="F534" s="147"/>
      <c r="G534" s="148"/>
      <c r="H534" s="149"/>
      <c r="I534" s="150"/>
      <c r="J534" s="149"/>
      <c r="K534" s="149"/>
      <c r="L534" s="149"/>
      <c r="M534" s="149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ht="15.75" customHeight="1">
      <c r="A535" s="10"/>
      <c r="B535" s="22"/>
      <c r="C535" s="22"/>
      <c r="D535" s="22"/>
      <c r="E535" s="22"/>
      <c r="F535" s="147"/>
      <c r="G535" s="148"/>
      <c r="H535" s="149"/>
      <c r="I535" s="150"/>
      <c r="J535" s="149"/>
      <c r="K535" s="149"/>
      <c r="L535" s="149"/>
      <c r="M535" s="149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ht="15.75" customHeight="1">
      <c r="A536" s="10"/>
      <c r="B536" s="22"/>
      <c r="C536" s="22"/>
      <c r="D536" s="22"/>
      <c r="E536" s="22"/>
      <c r="F536" s="147"/>
      <c r="G536" s="148"/>
      <c r="H536" s="149"/>
      <c r="I536" s="150"/>
      <c r="J536" s="149"/>
      <c r="K536" s="149"/>
      <c r="L536" s="149"/>
      <c r="M536" s="149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ht="15.75" customHeight="1">
      <c r="A537" s="10"/>
      <c r="B537" s="22"/>
      <c r="C537" s="22"/>
      <c r="D537" s="22"/>
      <c r="E537" s="22"/>
      <c r="F537" s="147"/>
      <c r="G537" s="148"/>
      <c r="H537" s="149"/>
      <c r="I537" s="150"/>
      <c r="J537" s="149"/>
      <c r="K537" s="149"/>
      <c r="L537" s="149"/>
      <c r="M537" s="149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ht="15.75" customHeight="1">
      <c r="A538" s="10"/>
      <c r="B538" s="22"/>
      <c r="C538" s="22"/>
      <c r="D538" s="22"/>
      <c r="E538" s="22"/>
      <c r="F538" s="147"/>
      <c r="G538" s="148"/>
      <c r="H538" s="149"/>
      <c r="I538" s="150"/>
      <c r="J538" s="149"/>
      <c r="K538" s="149"/>
      <c r="L538" s="149"/>
      <c r="M538" s="149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ht="15.75" customHeight="1">
      <c r="A539" s="10"/>
      <c r="B539" s="22"/>
      <c r="C539" s="22"/>
      <c r="D539" s="22"/>
      <c r="E539" s="22"/>
      <c r="F539" s="147"/>
      <c r="G539" s="148"/>
      <c r="H539" s="149"/>
      <c r="I539" s="150"/>
      <c r="J539" s="149"/>
      <c r="K539" s="149"/>
      <c r="L539" s="149"/>
      <c r="M539" s="149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ht="15.75" customHeight="1">
      <c r="A540" s="10"/>
      <c r="B540" s="22"/>
      <c r="C540" s="22"/>
      <c r="D540" s="22"/>
      <c r="E540" s="22"/>
      <c r="F540" s="147"/>
      <c r="G540" s="148"/>
      <c r="H540" s="149"/>
      <c r="I540" s="150"/>
      <c r="J540" s="149"/>
      <c r="K540" s="149"/>
      <c r="L540" s="149"/>
      <c r="M540" s="149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ht="15.75" customHeight="1">
      <c r="A541" s="10"/>
      <c r="B541" s="22"/>
      <c r="C541" s="22"/>
      <c r="D541" s="22"/>
      <c r="E541" s="22"/>
      <c r="F541" s="147"/>
      <c r="G541" s="148"/>
      <c r="H541" s="149"/>
      <c r="I541" s="150"/>
      <c r="J541" s="149"/>
      <c r="K541" s="149"/>
      <c r="L541" s="149"/>
      <c r="M541" s="149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ht="15.75" customHeight="1">
      <c r="A542" s="10"/>
      <c r="B542" s="22"/>
      <c r="C542" s="22"/>
      <c r="D542" s="22"/>
      <c r="E542" s="22"/>
      <c r="F542" s="147"/>
      <c r="G542" s="148"/>
      <c r="H542" s="149"/>
      <c r="I542" s="150"/>
      <c r="J542" s="149"/>
      <c r="K542" s="149"/>
      <c r="L542" s="149"/>
      <c r="M542" s="149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ht="15.75" customHeight="1">
      <c r="A543" s="10"/>
      <c r="B543" s="22"/>
      <c r="C543" s="22"/>
      <c r="D543" s="22"/>
      <c r="E543" s="22"/>
      <c r="F543" s="147"/>
      <c r="G543" s="148"/>
      <c r="H543" s="149"/>
      <c r="I543" s="150"/>
      <c r="J543" s="149"/>
      <c r="K543" s="149"/>
      <c r="L543" s="149"/>
      <c r="M543" s="149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ht="15.75" customHeight="1">
      <c r="A544" s="10"/>
      <c r="B544" s="22"/>
      <c r="C544" s="22"/>
      <c r="D544" s="22"/>
      <c r="E544" s="22"/>
      <c r="F544" s="147"/>
      <c r="G544" s="148"/>
      <c r="H544" s="149"/>
      <c r="I544" s="150"/>
      <c r="J544" s="149"/>
      <c r="K544" s="149"/>
      <c r="L544" s="149"/>
      <c r="M544" s="149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ht="15.75" customHeight="1">
      <c r="A545" s="10"/>
      <c r="B545" s="22"/>
      <c r="C545" s="22"/>
      <c r="D545" s="22"/>
      <c r="E545" s="22"/>
      <c r="F545" s="147"/>
      <c r="G545" s="148"/>
      <c r="H545" s="149"/>
      <c r="I545" s="150"/>
      <c r="J545" s="149"/>
      <c r="K545" s="149"/>
      <c r="L545" s="149"/>
      <c r="M545" s="149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ht="15.75" customHeight="1">
      <c r="A546" s="10"/>
      <c r="B546" s="22"/>
      <c r="C546" s="22"/>
      <c r="D546" s="22"/>
      <c r="E546" s="22"/>
      <c r="F546" s="147"/>
      <c r="G546" s="148"/>
      <c r="H546" s="149"/>
      <c r="I546" s="150"/>
      <c r="J546" s="149"/>
      <c r="K546" s="149"/>
      <c r="L546" s="149"/>
      <c r="M546" s="149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ht="15.75" customHeight="1">
      <c r="A547" s="10"/>
      <c r="B547" s="22"/>
      <c r="C547" s="22"/>
      <c r="D547" s="22"/>
      <c r="E547" s="22"/>
      <c r="F547" s="147"/>
      <c r="G547" s="148"/>
      <c r="H547" s="149"/>
      <c r="I547" s="150"/>
      <c r="J547" s="149"/>
      <c r="K547" s="149"/>
      <c r="L547" s="149"/>
      <c r="M547" s="149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ht="15.75" customHeight="1">
      <c r="A548" s="10"/>
      <c r="B548" s="22"/>
      <c r="C548" s="22"/>
      <c r="D548" s="22"/>
      <c r="E548" s="22"/>
      <c r="F548" s="147"/>
      <c r="G548" s="148"/>
      <c r="H548" s="149"/>
      <c r="I548" s="150"/>
      <c r="J548" s="149"/>
      <c r="K548" s="149"/>
      <c r="L548" s="149"/>
      <c r="M548" s="149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ht="15.75" customHeight="1">
      <c r="A549" s="10"/>
      <c r="B549" s="22"/>
      <c r="C549" s="22"/>
      <c r="D549" s="22"/>
      <c r="E549" s="22"/>
      <c r="F549" s="147"/>
      <c r="G549" s="148"/>
      <c r="H549" s="149"/>
      <c r="I549" s="150"/>
      <c r="J549" s="149"/>
      <c r="K549" s="149"/>
      <c r="L549" s="149"/>
      <c r="M549" s="149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ht="15.75" customHeight="1">
      <c r="A550" s="10"/>
      <c r="B550" s="22"/>
      <c r="C550" s="22"/>
      <c r="D550" s="22"/>
      <c r="E550" s="22"/>
      <c r="F550" s="147"/>
      <c r="G550" s="148"/>
      <c r="H550" s="149"/>
      <c r="I550" s="150"/>
      <c r="J550" s="149"/>
      <c r="K550" s="149"/>
      <c r="L550" s="149"/>
      <c r="M550" s="149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ht="15.75" customHeight="1">
      <c r="A551" s="10"/>
      <c r="B551" s="22"/>
      <c r="C551" s="22"/>
      <c r="D551" s="22"/>
      <c r="E551" s="22"/>
      <c r="F551" s="147"/>
      <c r="G551" s="148"/>
      <c r="H551" s="149"/>
      <c r="I551" s="150"/>
      <c r="J551" s="149"/>
      <c r="K551" s="149"/>
      <c r="L551" s="149"/>
      <c r="M551" s="149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ht="15.75" customHeight="1">
      <c r="A552" s="10"/>
      <c r="B552" s="22"/>
      <c r="C552" s="22"/>
      <c r="D552" s="22"/>
      <c r="E552" s="22"/>
      <c r="F552" s="147"/>
      <c r="G552" s="148"/>
      <c r="H552" s="149"/>
      <c r="I552" s="150"/>
      <c r="J552" s="149"/>
      <c r="K552" s="149"/>
      <c r="L552" s="149"/>
      <c r="M552" s="149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ht="15.75" customHeight="1">
      <c r="A553" s="10"/>
      <c r="B553" s="22"/>
      <c r="C553" s="22"/>
      <c r="D553" s="22"/>
      <c r="E553" s="22"/>
      <c r="F553" s="147"/>
      <c r="G553" s="148"/>
      <c r="H553" s="149"/>
      <c r="I553" s="150"/>
      <c r="J553" s="149"/>
      <c r="K553" s="149"/>
      <c r="L553" s="149"/>
      <c r="M553" s="149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ht="15.75" customHeight="1">
      <c r="A554" s="10"/>
      <c r="B554" s="22"/>
      <c r="C554" s="22"/>
      <c r="D554" s="22"/>
      <c r="E554" s="22"/>
      <c r="F554" s="147"/>
      <c r="G554" s="148"/>
      <c r="H554" s="149"/>
      <c r="I554" s="150"/>
      <c r="J554" s="149"/>
      <c r="K554" s="149"/>
      <c r="L554" s="149"/>
      <c r="M554" s="149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ht="15.75" customHeight="1">
      <c r="A555" s="10"/>
      <c r="B555" s="22"/>
      <c r="C555" s="22"/>
      <c r="D555" s="22"/>
      <c r="E555" s="22"/>
      <c r="F555" s="147"/>
      <c r="G555" s="148"/>
      <c r="H555" s="149"/>
      <c r="I555" s="150"/>
      <c r="J555" s="149"/>
      <c r="K555" s="149"/>
      <c r="L555" s="149"/>
      <c r="M555" s="149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ht="15.75" customHeight="1">
      <c r="A556" s="10"/>
      <c r="B556" s="22"/>
      <c r="C556" s="22"/>
      <c r="D556" s="22"/>
      <c r="E556" s="22"/>
      <c r="F556" s="147"/>
      <c r="G556" s="148"/>
      <c r="H556" s="149"/>
      <c r="I556" s="150"/>
      <c r="J556" s="149"/>
      <c r="K556" s="149"/>
      <c r="L556" s="149"/>
      <c r="M556" s="149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ht="15.75" customHeight="1">
      <c r="A557" s="10"/>
      <c r="B557" s="22"/>
      <c r="C557" s="22"/>
      <c r="D557" s="22"/>
      <c r="E557" s="22"/>
      <c r="F557" s="147"/>
      <c r="G557" s="148"/>
      <c r="H557" s="149"/>
      <c r="I557" s="150"/>
      <c r="J557" s="149"/>
      <c r="K557" s="149"/>
      <c r="L557" s="149"/>
      <c r="M557" s="149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ht="15.75" customHeight="1">
      <c r="A558" s="10"/>
      <c r="B558" s="22"/>
      <c r="C558" s="22"/>
      <c r="D558" s="22"/>
      <c r="E558" s="22"/>
      <c r="F558" s="147"/>
      <c r="G558" s="148"/>
      <c r="H558" s="149"/>
      <c r="I558" s="150"/>
      <c r="J558" s="149"/>
      <c r="K558" s="149"/>
      <c r="L558" s="149"/>
      <c r="M558" s="149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ht="15.75" customHeight="1">
      <c r="A559" s="10"/>
      <c r="B559" s="22"/>
      <c r="C559" s="22"/>
      <c r="D559" s="22"/>
      <c r="E559" s="22"/>
      <c r="F559" s="147"/>
      <c r="G559" s="148"/>
      <c r="H559" s="149"/>
      <c r="I559" s="150"/>
      <c r="J559" s="149"/>
      <c r="K559" s="149"/>
      <c r="L559" s="149"/>
      <c r="M559" s="149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ht="15.75" customHeight="1">
      <c r="A560" s="10"/>
      <c r="B560" s="22"/>
      <c r="C560" s="22"/>
      <c r="D560" s="22"/>
      <c r="E560" s="22"/>
      <c r="F560" s="147"/>
      <c r="G560" s="148"/>
      <c r="H560" s="149"/>
      <c r="I560" s="150"/>
      <c r="J560" s="149"/>
      <c r="K560" s="149"/>
      <c r="L560" s="149"/>
      <c r="M560" s="149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ht="15.75" customHeight="1">
      <c r="A561" s="10"/>
      <c r="B561" s="22"/>
      <c r="C561" s="22"/>
      <c r="D561" s="22"/>
      <c r="E561" s="22"/>
      <c r="F561" s="147"/>
      <c r="G561" s="148"/>
      <c r="H561" s="149"/>
      <c r="I561" s="150"/>
      <c r="J561" s="149"/>
      <c r="K561" s="149"/>
      <c r="L561" s="149"/>
      <c r="M561" s="149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ht="15.75" customHeight="1">
      <c r="A562" s="10"/>
      <c r="B562" s="22"/>
      <c r="C562" s="22"/>
      <c r="D562" s="22"/>
      <c r="E562" s="22"/>
      <c r="F562" s="147"/>
      <c r="G562" s="148"/>
      <c r="H562" s="149"/>
      <c r="I562" s="150"/>
      <c r="J562" s="149"/>
      <c r="K562" s="149"/>
      <c r="L562" s="149"/>
      <c r="M562" s="149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ht="15.75" customHeight="1">
      <c r="A563" s="10"/>
      <c r="B563" s="22"/>
      <c r="C563" s="22"/>
      <c r="D563" s="22"/>
      <c r="E563" s="22"/>
      <c r="F563" s="147"/>
      <c r="G563" s="148"/>
      <c r="H563" s="149"/>
      <c r="I563" s="150"/>
      <c r="J563" s="149"/>
      <c r="K563" s="149"/>
      <c r="L563" s="149"/>
      <c r="M563" s="149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ht="15.75" customHeight="1">
      <c r="A564" s="10"/>
      <c r="B564" s="22"/>
      <c r="C564" s="22"/>
      <c r="D564" s="22"/>
      <c r="E564" s="22"/>
      <c r="F564" s="147"/>
      <c r="G564" s="148"/>
      <c r="H564" s="149"/>
      <c r="I564" s="150"/>
      <c r="J564" s="149"/>
      <c r="K564" s="149"/>
      <c r="L564" s="149"/>
      <c r="M564" s="149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ht="15.75" customHeight="1">
      <c r="A565" s="10"/>
      <c r="B565" s="22"/>
      <c r="C565" s="22"/>
      <c r="D565" s="22"/>
      <c r="E565" s="22"/>
      <c r="F565" s="147"/>
      <c r="G565" s="148"/>
      <c r="H565" s="149"/>
      <c r="I565" s="150"/>
      <c r="J565" s="149"/>
      <c r="K565" s="149"/>
      <c r="L565" s="149"/>
      <c r="M565" s="149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ht="15.75" customHeight="1">
      <c r="A566" s="10"/>
      <c r="B566" s="22"/>
      <c r="C566" s="22"/>
      <c r="D566" s="22"/>
      <c r="E566" s="22"/>
      <c r="F566" s="147"/>
      <c r="G566" s="148"/>
      <c r="H566" s="149"/>
      <c r="I566" s="150"/>
      <c r="J566" s="149"/>
      <c r="K566" s="149"/>
      <c r="L566" s="149"/>
      <c r="M566" s="149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ht="15.75" customHeight="1">
      <c r="A567" s="10"/>
      <c r="B567" s="22"/>
      <c r="C567" s="22"/>
      <c r="D567" s="22"/>
      <c r="E567" s="22"/>
      <c r="F567" s="147"/>
      <c r="G567" s="148"/>
      <c r="H567" s="149"/>
      <c r="I567" s="150"/>
      <c r="J567" s="149"/>
      <c r="K567" s="149"/>
      <c r="L567" s="149"/>
      <c r="M567" s="149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ht="15.75" customHeight="1">
      <c r="A568" s="10"/>
      <c r="B568" s="22"/>
      <c r="C568" s="22"/>
      <c r="D568" s="22"/>
      <c r="E568" s="22"/>
      <c r="F568" s="147"/>
      <c r="G568" s="148"/>
      <c r="H568" s="149"/>
      <c r="I568" s="150"/>
      <c r="J568" s="149"/>
      <c r="K568" s="149"/>
      <c r="L568" s="149"/>
      <c r="M568" s="149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ht="15.75" customHeight="1">
      <c r="A569" s="10"/>
      <c r="B569" s="22"/>
      <c r="C569" s="22"/>
      <c r="D569" s="22"/>
      <c r="E569" s="22"/>
      <c r="F569" s="147"/>
      <c r="G569" s="148"/>
      <c r="H569" s="149"/>
      <c r="I569" s="150"/>
      <c r="J569" s="149"/>
      <c r="K569" s="149"/>
      <c r="L569" s="149"/>
      <c r="M569" s="149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ht="15.75" customHeight="1">
      <c r="A570" s="10"/>
      <c r="B570" s="22"/>
      <c r="C570" s="22"/>
      <c r="D570" s="22"/>
      <c r="E570" s="22"/>
      <c r="F570" s="147"/>
      <c r="G570" s="148"/>
      <c r="H570" s="149"/>
      <c r="I570" s="150"/>
      <c r="J570" s="149"/>
      <c r="K570" s="149"/>
      <c r="L570" s="149"/>
      <c r="M570" s="149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ht="15.75" customHeight="1">
      <c r="A571" s="10"/>
      <c r="B571" s="22"/>
      <c r="C571" s="22"/>
      <c r="D571" s="22"/>
      <c r="E571" s="22"/>
      <c r="F571" s="147"/>
      <c r="G571" s="148"/>
      <c r="H571" s="149"/>
      <c r="I571" s="150"/>
      <c r="J571" s="149"/>
      <c r="K571" s="149"/>
      <c r="L571" s="149"/>
      <c r="M571" s="149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ht="15.75" customHeight="1">
      <c r="A572" s="10"/>
      <c r="B572" s="22"/>
      <c r="C572" s="22"/>
      <c r="D572" s="22"/>
      <c r="E572" s="22"/>
      <c r="F572" s="147"/>
      <c r="G572" s="148"/>
      <c r="H572" s="149"/>
      <c r="I572" s="150"/>
      <c r="J572" s="149"/>
      <c r="K572" s="149"/>
      <c r="L572" s="149"/>
      <c r="M572" s="149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ht="15.75" customHeight="1">
      <c r="A573" s="10"/>
      <c r="B573" s="22"/>
      <c r="C573" s="22"/>
      <c r="D573" s="22"/>
      <c r="E573" s="22"/>
      <c r="F573" s="147"/>
      <c r="G573" s="148"/>
      <c r="H573" s="149"/>
      <c r="I573" s="150"/>
      <c r="J573" s="149"/>
      <c r="K573" s="149"/>
      <c r="L573" s="149"/>
      <c r="M573" s="149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ht="15.75" customHeight="1">
      <c r="A574" s="10"/>
      <c r="B574" s="22"/>
      <c r="C574" s="22"/>
      <c r="D574" s="22"/>
      <c r="E574" s="22"/>
      <c r="F574" s="147"/>
      <c r="G574" s="148"/>
      <c r="H574" s="149"/>
      <c r="I574" s="150"/>
      <c r="J574" s="149"/>
      <c r="K574" s="149"/>
      <c r="L574" s="149"/>
      <c r="M574" s="149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ht="15.75" customHeight="1">
      <c r="A575" s="10"/>
      <c r="B575" s="22"/>
      <c r="C575" s="22"/>
      <c r="D575" s="22"/>
      <c r="E575" s="22"/>
      <c r="F575" s="147"/>
      <c r="G575" s="148"/>
      <c r="H575" s="149"/>
      <c r="I575" s="150"/>
      <c r="J575" s="149"/>
      <c r="K575" s="149"/>
      <c r="L575" s="149"/>
      <c r="M575" s="149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ht="15.75" customHeight="1">
      <c r="A576" s="10"/>
      <c r="B576" s="22"/>
      <c r="C576" s="22"/>
      <c r="D576" s="22"/>
      <c r="E576" s="22"/>
      <c r="F576" s="147"/>
      <c r="G576" s="148"/>
      <c r="H576" s="149"/>
      <c r="I576" s="150"/>
      <c r="J576" s="149"/>
      <c r="K576" s="149"/>
      <c r="L576" s="149"/>
      <c r="M576" s="149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ht="15.75" customHeight="1">
      <c r="A577" s="10"/>
      <c r="B577" s="22"/>
      <c r="C577" s="22"/>
      <c r="D577" s="22"/>
      <c r="E577" s="22"/>
      <c r="F577" s="147"/>
      <c r="G577" s="148"/>
      <c r="H577" s="149"/>
      <c r="I577" s="150"/>
      <c r="J577" s="149"/>
      <c r="K577" s="149"/>
      <c r="L577" s="149"/>
      <c r="M577" s="149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ht="15.75" customHeight="1">
      <c r="A578" s="10"/>
      <c r="B578" s="22"/>
      <c r="C578" s="22"/>
      <c r="D578" s="22"/>
      <c r="E578" s="22"/>
      <c r="F578" s="147"/>
      <c r="G578" s="148"/>
      <c r="H578" s="149"/>
      <c r="I578" s="150"/>
      <c r="J578" s="149"/>
      <c r="K578" s="149"/>
      <c r="L578" s="149"/>
      <c r="M578" s="149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ht="15.75" customHeight="1">
      <c r="A579" s="10"/>
      <c r="B579" s="22"/>
      <c r="C579" s="22"/>
      <c r="D579" s="22"/>
      <c r="E579" s="22"/>
      <c r="F579" s="147"/>
      <c r="G579" s="148"/>
      <c r="H579" s="149"/>
      <c r="I579" s="150"/>
      <c r="J579" s="149"/>
      <c r="K579" s="149"/>
      <c r="L579" s="149"/>
      <c r="M579" s="149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ht="15.75" customHeight="1">
      <c r="A580" s="10"/>
      <c r="B580" s="22"/>
      <c r="C580" s="22"/>
      <c r="D580" s="22"/>
      <c r="E580" s="22"/>
      <c r="F580" s="147"/>
      <c r="G580" s="148"/>
      <c r="H580" s="149"/>
      <c r="I580" s="150"/>
      <c r="J580" s="149"/>
      <c r="K580" s="149"/>
      <c r="L580" s="149"/>
      <c r="M580" s="149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ht="15.75" customHeight="1">
      <c r="A581" s="10"/>
      <c r="B581" s="22"/>
      <c r="C581" s="22"/>
      <c r="D581" s="22"/>
      <c r="E581" s="22"/>
      <c r="F581" s="147"/>
      <c r="G581" s="148"/>
      <c r="H581" s="149"/>
      <c r="I581" s="150"/>
      <c r="J581" s="149"/>
      <c r="K581" s="149"/>
      <c r="L581" s="149"/>
      <c r="M581" s="149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ht="15.75" customHeight="1">
      <c r="A582" s="10"/>
      <c r="B582" s="22"/>
      <c r="C582" s="22"/>
      <c r="D582" s="22"/>
      <c r="E582" s="22"/>
      <c r="F582" s="147"/>
      <c r="G582" s="148"/>
      <c r="H582" s="149"/>
      <c r="I582" s="150"/>
      <c r="J582" s="149"/>
      <c r="K582" s="149"/>
      <c r="L582" s="149"/>
      <c r="M582" s="149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ht="15.75" customHeight="1">
      <c r="A583" s="10"/>
      <c r="B583" s="22"/>
      <c r="C583" s="22"/>
      <c r="D583" s="22"/>
      <c r="E583" s="22"/>
      <c r="F583" s="147"/>
      <c r="G583" s="148"/>
      <c r="H583" s="149"/>
      <c r="I583" s="150"/>
      <c r="J583" s="149"/>
      <c r="K583" s="149"/>
      <c r="L583" s="149"/>
      <c r="M583" s="149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ht="15.75" customHeight="1">
      <c r="A584" s="10"/>
      <c r="B584" s="22"/>
      <c r="C584" s="22"/>
      <c r="D584" s="22"/>
      <c r="E584" s="22"/>
      <c r="F584" s="147"/>
      <c r="G584" s="148"/>
      <c r="H584" s="149"/>
      <c r="I584" s="150"/>
      <c r="J584" s="149"/>
      <c r="K584" s="149"/>
      <c r="L584" s="149"/>
      <c r="M584" s="149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ht="15.75" customHeight="1">
      <c r="A585" s="10"/>
      <c r="B585" s="22"/>
      <c r="C585" s="22"/>
      <c r="D585" s="22"/>
      <c r="E585" s="22"/>
      <c r="F585" s="147"/>
      <c r="G585" s="148"/>
      <c r="H585" s="149"/>
      <c r="I585" s="150"/>
      <c r="J585" s="149"/>
      <c r="K585" s="149"/>
      <c r="L585" s="149"/>
      <c r="M585" s="149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ht="15.75" customHeight="1">
      <c r="A586" s="10"/>
      <c r="B586" s="22"/>
      <c r="C586" s="22"/>
      <c r="D586" s="22"/>
      <c r="E586" s="22"/>
      <c r="F586" s="147"/>
      <c r="G586" s="148"/>
      <c r="H586" s="149"/>
      <c r="I586" s="150"/>
      <c r="J586" s="149"/>
      <c r="K586" s="149"/>
      <c r="L586" s="149"/>
      <c r="M586" s="149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ht="15.75" customHeight="1">
      <c r="A587" s="10"/>
      <c r="B587" s="22"/>
      <c r="C587" s="22"/>
      <c r="D587" s="22"/>
      <c r="E587" s="22"/>
      <c r="F587" s="147"/>
      <c r="G587" s="148"/>
      <c r="H587" s="149"/>
      <c r="I587" s="150"/>
      <c r="J587" s="149"/>
      <c r="K587" s="149"/>
      <c r="L587" s="149"/>
      <c r="M587" s="149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ht="15.75" customHeight="1">
      <c r="A588" s="10"/>
      <c r="B588" s="22"/>
      <c r="C588" s="22"/>
      <c r="D588" s="22"/>
      <c r="E588" s="22"/>
      <c r="F588" s="147"/>
      <c r="G588" s="148"/>
      <c r="H588" s="149"/>
      <c r="I588" s="150"/>
      <c r="J588" s="149"/>
      <c r="K588" s="149"/>
      <c r="L588" s="149"/>
      <c r="M588" s="149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ht="15.75" customHeight="1">
      <c r="A589" s="10"/>
      <c r="B589" s="22"/>
      <c r="C589" s="22"/>
      <c r="D589" s="22"/>
      <c r="E589" s="22"/>
      <c r="F589" s="147"/>
      <c r="G589" s="148"/>
      <c r="H589" s="149"/>
      <c r="I589" s="150"/>
      <c r="J589" s="149"/>
      <c r="K589" s="149"/>
      <c r="L589" s="149"/>
      <c r="M589" s="149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ht="15.75" customHeight="1">
      <c r="A590" s="10"/>
      <c r="B590" s="22"/>
      <c r="C590" s="22"/>
      <c r="D590" s="22"/>
      <c r="E590" s="22"/>
      <c r="F590" s="147"/>
      <c r="G590" s="148"/>
      <c r="H590" s="149"/>
      <c r="I590" s="150"/>
      <c r="J590" s="149"/>
      <c r="K590" s="149"/>
      <c r="L590" s="149"/>
      <c r="M590" s="149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ht="15.75" customHeight="1">
      <c r="A591" s="10"/>
      <c r="B591" s="22"/>
      <c r="C591" s="22"/>
      <c r="D591" s="22"/>
      <c r="E591" s="22"/>
      <c r="F591" s="147"/>
      <c r="G591" s="148"/>
      <c r="H591" s="149"/>
      <c r="I591" s="150"/>
      <c r="J591" s="149"/>
      <c r="K591" s="149"/>
      <c r="L591" s="149"/>
      <c r="M591" s="149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ht="15.75" customHeight="1">
      <c r="A592" s="10"/>
      <c r="B592" s="22"/>
      <c r="C592" s="22"/>
      <c r="D592" s="22"/>
      <c r="E592" s="22"/>
      <c r="F592" s="147"/>
      <c r="G592" s="148"/>
      <c r="H592" s="149"/>
      <c r="I592" s="150"/>
      <c r="J592" s="149"/>
      <c r="K592" s="149"/>
      <c r="L592" s="149"/>
      <c r="M592" s="149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ht="15.75" customHeight="1">
      <c r="A593" s="10"/>
      <c r="B593" s="22"/>
      <c r="C593" s="22"/>
      <c r="D593" s="22"/>
      <c r="E593" s="22"/>
      <c r="F593" s="147"/>
      <c r="G593" s="148"/>
      <c r="H593" s="149"/>
      <c r="I593" s="150"/>
      <c r="J593" s="149"/>
      <c r="K593" s="149"/>
      <c r="L593" s="149"/>
      <c r="M593" s="149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ht="15.75" customHeight="1">
      <c r="A594" s="10"/>
      <c r="B594" s="22"/>
      <c r="C594" s="22"/>
      <c r="D594" s="22"/>
      <c r="E594" s="22"/>
      <c r="F594" s="147"/>
      <c r="G594" s="148"/>
      <c r="H594" s="149"/>
      <c r="I594" s="150"/>
      <c r="J594" s="149"/>
      <c r="K594" s="149"/>
      <c r="L594" s="149"/>
      <c r="M594" s="149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ht="15.75" customHeight="1">
      <c r="A595" s="10"/>
      <c r="B595" s="22"/>
      <c r="C595" s="22"/>
      <c r="D595" s="22"/>
      <c r="E595" s="22"/>
      <c r="F595" s="147"/>
      <c r="G595" s="148"/>
      <c r="H595" s="149"/>
      <c r="I595" s="150"/>
      <c r="J595" s="149"/>
      <c r="K595" s="149"/>
      <c r="L595" s="149"/>
      <c r="M595" s="149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ht="15.75" customHeight="1">
      <c r="A596" s="10"/>
      <c r="B596" s="22"/>
      <c r="C596" s="22"/>
      <c r="D596" s="22"/>
      <c r="E596" s="22"/>
      <c r="F596" s="147"/>
      <c r="G596" s="148"/>
      <c r="H596" s="149"/>
      <c r="I596" s="150"/>
      <c r="J596" s="149"/>
      <c r="K596" s="149"/>
      <c r="L596" s="149"/>
      <c r="M596" s="149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ht="15.75" customHeight="1">
      <c r="A597" s="10"/>
      <c r="B597" s="22"/>
      <c r="C597" s="22"/>
      <c r="D597" s="22"/>
      <c r="E597" s="22"/>
      <c r="F597" s="147"/>
      <c r="G597" s="148"/>
      <c r="H597" s="149"/>
      <c r="I597" s="150"/>
      <c r="J597" s="149"/>
      <c r="K597" s="149"/>
      <c r="L597" s="149"/>
      <c r="M597" s="149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ht="15.75" customHeight="1">
      <c r="A598" s="10"/>
      <c r="B598" s="22"/>
      <c r="C598" s="22"/>
      <c r="D598" s="22"/>
      <c r="E598" s="22"/>
      <c r="F598" s="147"/>
      <c r="G598" s="148"/>
      <c r="H598" s="149"/>
      <c r="I598" s="150"/>
      <c r="J598" s="149"/>
      <c r="K598" s="149"/>
      <c r="L598" s="149"/>
      <c r="M598" s="149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ht="15.75" customHeight="1">
      <c r="A599" s="10"/>
      <c r="B599" s="22"/>
      <c r="C599" s="22"/>
      <c r="D599" s="22"/>
      <c r="E599" s="22"/>
      <c r="F599" s="147"/>
      <c r="G599" s="148"/>
      <c r="H599" s="149"/>
      <c r="I599" s="150"/>
      <c r="J599" s="149"/>
      <c r="K599" s="149"/>
      <c r="L599" s="149"/>
      <c r="M599" s="149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ht="15.75" customHeight="1">
      <c r="A600" s="10"/>
      <c r="B600" s="22"/>
      <c r="C600" s="22"/>
      <c r="D600" s="22"/>
      <c r="E600" s="22"/>
      <c r="F600" s="147"/>
      <c r="G600" s="148"/>
      <c r="H600" s="149"/>
      <c r="I600" s="150"/>
      <c r="J600" s="149"/>
      <c r="K600" s="149"/>
      <c r="L600" s="149"/>
      <c r="M600" s="149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ht="15.75" customHeight="1">
      <c r="A601" s="10"/>
      <c r="B601" s="22"/>
      <c r="C601" s="22"/>
      <c r="D601" s="22"/>
      <c r="E601" s="22"/>
      <c r="F601" s="147"/>
      <c r="G601" s="148"/>
      <c r="H601" s="149"/>
      <c r="I601" s="150"/>
      <c r="J601" s="149"/>
      <c r="K601" s="149"/>
      <c r="L601" s="149"/>
      <c r="M601" s="149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ht="15.75" customHeight="1">
      <c r="A602" s="10"/>
      <c r="B602" s="22"/>
      <c r="C602" s="22"/>
      <c r="D602" s="22"/>
      <c r="E602" s="22"/>
      <c r="F602" s="147"/>
      <c r="G602" s="148"/>
      <c r="H602" s="149"/>
      <c r="I602" s="150"/>
      <c r="J602" s="149"/>
      <c r="K602" s="149"/>
      <c r="L602" s="149"/>
      <c r="M602" s="149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ht="15.75" customHeight="1">
      <c r="A603" s="10"/>
      <c r="B603" s="22"/>
      <c r="C603" s="22"/>
      <c r="D603" s="22"/>
      <c r="E603" s="22"/>
      <c r="F603" s="147"/>
      <c r="G603" s="148"/>
      <c r="H603" s="149"/>
      <c r="I603" s="150"/>
      <c r="J603" s="149"/>
      <c r="K603" s="149"/>
      <c r="L603" s="149"/>
      <c r="M603" s="149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ht="15.75" customHeight="1">
      <c r="A604" s="10"/>
      <c r="B604" s="22"/>
      <c r="C604" s="22"/>
      <c r="D604" s="22"/>
      <c r="E604" s="22"/>
      <c r="F604" s="147"/>
      <c r="G604" s="148"/>
      <c r="H604" s="149"/>
      <c r="I604" s="150"/>
      <c r="J604" s="149"/>
      <c r="K604" s="149"/>
      <c r="L604" s="149"/>
      <c r="M604" s="149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ht="15.75" customHeight="1">
      <c r="A605" s="10"/>
      <c r="B605" s="22"/>
      <c r="C605" s="22"/>
      <c r="D605" s="22"/>
      <c r="E605" s="22"/>
      <c r="F605" s="147"/>
      <c r="G605" s="148"/>
      <c r="H605" s="149"/>
      <c r="I605" s="150"/>
      <c r="J605" s="149"/>
      <c r="K605" s="149"/>
      <c r="L605" s="149"/>
      <c r="M605" s="149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ht="15.75" customHeight="1">
      <c r="A606" s="10"/>
      <c r="B606" s="22"/>
      <c r="C606" s="22"/>
      <c r="D606" s="22"/>
      <c r="E606" s="22"/>
      <c r="F606" s="147"/>
      <c r="G606" s="148"/>
      <c r="H606" s="149"/>
      <c r="I606" s="150"/>
      <c r="J606" s="149"/>
      <c r="K606" s="149"/>
      <c r="L606" s="149"/>
      <c r="M606" s="149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ht="15.75" customHeight="1">
      <c r="A607" s="10"/>
      <c r="B607" s="22"/>
      <c r="C607" s="22"/>
      <c r="D607" s="22"/>
      <c r="E607" s="22"/>
      <c r="F607" s="147"/>
      <c r="G607" s="148"/>
      <c r="H607" s="149"/>
      <c r="I607" s="150"/>
      <c r="J607" s="149"/>
      <c r="K607" s="149"/>
      <c r="L607" s="149"/>
      <c r="M607" s="149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ht="15.75" customHeight="1">
      <c r="A608" s="10"/>
      <c r="B608" s="22"/>
      <c r="C608" s="22"/>
      <c r="D608" s="22"/>
      <c r="E608" s="22"/>
      <c r="F608" s="147"/>
      <c r="G608" s="148"/>
      <c r="H608" s="149"/>
      <c r="I608" s="150"/>
      <c r="J608" s="149"/>
      <c r="K608" s="149"/>
      <c r="L608" s="149"/>
      <c r="M608" s="149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ht="15.75" customHeight="1">
      <c r="A609" s="10"/>
      <c r="B609" s="22"/>
      <c r="C609" s="22"/>
      <c r="D609" s="22"/>
      <c r="E609" s="22"/>
      <c r="F609" s="147"/>
      <c r="G609" s="148"/>
      <c r="H609" s="149"/>
      <c r="I609" s="150"/>
      <c r="J609" s="149"/>
      <c r="K609" s="149"/>
      <c r="L609" s="149"/>
      <c r="M609" s="149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ht="15.75" customHeight="1">
      <c r="A610" s="10"/>
      <c r="B610" s="22"/>
      <c r="C610" s="22"/>
      <c r="D610" s="22"/>
      <c r="E610" s="22"/>
      <c r="F610" s="147"/>
      <c r="G610" s="148"/>
      <c r="H610" s="149"/>
      <c r="I610" s="150"/>
      <c r="J610" s="149"/>
      <c r="K610" s="149"/>
      <c r="L610" s="149"/>
      <c r="M610" s="149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ht="15.75" customHeight="1">
      <c r="A611" s="10"/>
      <c r="B611" s="22"/>
      <c r="C611" s="22"/>
      <c r="D611" s="22"/>
      <c r="E611" s="22"/>
      <c r="F611" s="147"/>
      <c r="G611" s="148"/>
      <c r="H611" s="149"/>
      <c r="I611" s="150"/>
      <c r="J611" s="149"/>
      <c r="K611" s="149"/>
      <c r="L611" s="149"/>
      <c r="M611" s="149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ht="15.75" customHeight="1">
      <c r="A612" s="10"/>
      <c r="B612" s="22"/>
      <c r="C612" s="22"/>
      <c r="D612" s="22"/>
      <c r="E612" s="22"/>
      <c r="F612" s="147"/>
      <c r="G612" s="148"/>
      <c r="H612" s="149"/>
      <c r="I612" s="150"/>
      <c r="J612" s="149"/>
      <c r="K612" s="149"/>
      <c r="L612" s="149"/>
      <c r="M612" s="149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ht="15.75" customHeight="1">
      <c r="A613" s="10"/>
      <c r="B613" s="22"/>
      <c r="C613" s="22"/>
      <c r="D613" s="22"/>
      <c r="E613" s="22"/>
      <c r="F613" s="147"/>
      <c r="G613" s="148"/>
      <c r="H613" s="149"/>
      <c r="I613" s="150"/>
      <c r="J613" s="149"/>
      <c r="K613" s="149"/>
      <c r="L613" s="149"/>
      <c r="M613" s="149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ht="15.75" customHeight="1">
      <c r="A614" s="10"/>
      <c r="B614" s="22"/>
      <c r="C614" s="22"/>
      <c r="D614" s="22"/>
      <c r="E614" s="22"/>
      <c r="F614" s="147"/>
      <c r="G614" s="148"/>
      <c r="H614" s="149"/>
      <c r="I614" s="150"/>
      <c r="J614" s="149"/>
      <c r="K614" s="149"/>
      <c r="L614" s="149"/>
      <c r="M614" s="149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ht="15.75" customHeight="1">
      <c r="A615" s="10"/>
      <c r="B615" s="22"/>
      <c r="C615" s="22"/>
      <c r="D615" s="22"/>
      <c r="E615" s="22"/>
      <c r="F615" s="147"/>
      <c r="G615" s="148"/>
      <c r="H615" s="149"/>
      <c r="I615" s="150"/>
      <c r="J615" s="149"/>
      <c r="K615" s="149"/>
      <c r="L615" s="149"/>
      <c r="M615" s="149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ht="15.75" customHeight="1">
      <c r="A616" s="10"/>
      <c r="B616" s="22"/>
      <c r="C616" s="22"/>
      <c r="D616" s="22"/>
      <c r="E616" s="22"/>
      <c r="F616" s="147"/>
      <c r="G616" s="148"/>
      <c r="H616" s="149"/>
      <c r="I616" s="150"/>
      <c r="J616" s="149"/>
      <c r="K616" s="149"/>
      <c r="L616" s="149"/>
      <c r="M616" s="149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ht="15.75" customHeight="1">
      <c r="A617" s="10"/>
      <c r="B617" s="22"/>
      <c r="C617" s="22"/>
      <c r="D617" s="22"/>
      <c r="E617" s="22"/>
      <c r="F617" s="147"/>
      <c r="G617" s="148"/>
      <c r="H617" s="149"/>
      <c r="I617" s="150"/>
      <c r="J617" s="149"/>
      <c r="K617" s="149"/>
      <c r="L617" s="149"/>
      <c r="M617" s="149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ht="15.75" customHeight="1">
      <c r="A618" s="10"/>
      <c r="B618" s="22"/>
      <c r="C618" s="22"/>
      <c r="D618" s="22"/>
      <c r="E618" s="22"/>
      <c r="F618" s="147"/>
      <c r="G618" s="148"/>
      <c r="H618" s="149"/>
      <c r="I618" s="150"/>
      <c r="J618" s="149"/>
      <c r="K618" s="149"/>
      <c r="L618" s="149"/>
      <c r="M618" s="149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ht="15.75" customHeight="1">
      <c r="A619" s="10"/>
      <c r="B619" s="22"/>
      <c r="C619" s="22"/>
      <c r="D619" s="22"/>
      <c r="E619" s="22"/>
      <c r="F619" s="147"/>
      <c r="G619" s="148"/>
      <c r="H619" s="149"/>
      <c r="I619" s="150"/>
      <c r="J619" s="149"/>
      <c r="K619" s="149"/>
      <c r="L619" s="149"/>
      <c r="M619" s="149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ht="15.75" customHeight="1">
      <c r="A620" s="10"/>
      <c r="B620" s="22"/>
      <c r="C620" s="22"/>
      <c r="D620" s="22"/>
      <c r="E620" s="22"/>
      <c r="F620" s="147"/>
      <c r="G620" s="148"/>
      <c r="H620" s="149"/>
      <c r="I620" s="150"/>
      <c r="J620" s="149"/>
      <c r="K620" s="149"/>
      <c r="L620" s="149"/>
      <c r="M620" s="149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ht="15.75" customHeight="1">
      <c r="A621" s="10"/>
      <c r="B621" s="22"/>
      <c r="C621" s="22"/>
      <c r="D621" s="22"/>
      <c r="E621" s="22"/>
      <c r="F621" s="147"/>
      <c r="G621" s="148"/>
      <c r="H621" s="149"/>
      <c r="I621" s="150"/>
      <c r="J621" s="149"/>
      <c r="K621" s="149"/>
      <c r="L621" s="149"/>
      <c r="M621" s="149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ht="15.75" customHeight="1">
      <c r="A622" s="10"/>
      <c r="B622" s="22"/>
      <c r="C622" s="22"/>
      <c r="D622" s="22"/>
      <c r="E622" s="22"/>
      <c r="F622" s="147"/>
      <c r="G622" s="148"/>
      <c r="H622" s="149"/>
      <c r="I622" s="150"/>
      <c r="J622" s="149"/>
      <c r="K622" s="149"/>
      <c r="L622" s="149"/>
      <c r="M622" s="149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ht="15.75" customHeight="1">
      <c r="A623" s="10"/>
      <c r="B623" s="22"/>
      <c r="C623" s="22"/>
      <c r="D623" s="22"/>
      <c r="E623" s="22"/>
      <c r="F623" s="147"/>
      <c r="G623" s="148"/>
      <c r="H623" s="149"/>
      <c r="I623" s="150"/>
      <c r="J623" s="149"/>
      <c r="K623" s="149"/>
      <c r="L623" s="149"/>
      <c r="M623" s="149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ht="15.75" customHeight="1">
      <c r="A624" s="10"/>
      <c r="B624" s="22"/>
      <c r="C624" s="22"/>
      <c r="D624" s="22"/>
      <c r="E624" s="22"/>
      <c r="F624" s="147"/>
      <c r="G624" s="148"/>
      <c r="H624" s="149"/>
      <c r="I624" s="150"/>
      <c r="J624" s="149"/>
      <c r="K624" s="149"/>
      <c r="L624" s="149"/>
      <c r="M624" s="149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ht="15.75" customHeight="1">
      <c r="A625" s="10"/>
      <c r="B625" s="22"/>
      <c r="C625" s="22"/>
      <c r="D625" s="22"/>
      <c r="E625" s="22"/>
      <c r="F625" s="147"/>
      <c r="G625" s="148"/>
      <c r="H625" s="149"/>
      <c r="I625" s="150"/>
      <c r="J625" s="149"/>
      <c r="K625" s="149"/>
      <c r="L625" s="149"/>
      <c r="M625" s="149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ht="15.75" customHeight="1">
      <c r="A626" s="10"/>
      <c r="B626" s="22"/>
      <c r="C626" s="22"/>
      <c r="D626" s="22"/>
      <c r="E626" s="22"/>
      <c r="F626" s="147"/>
      <c r="G626" s="148"/>
      <c r="H626" s="149"/>
      <c r="I626" s="150"/>
      <c r="J626" s="149"/>
      <c r="K626" s="149"/>
      <c r="L626" s="149"/>
      <c r="M626" s="149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ht="15.75" customHeight="1">
      <c r="A627" s="10"/>
      <c r="B627" s="22"/>
      <c r="C627" s="22"/>
      <c r="D627" s="22"/>
      <c r="E627" s="22"/>
      <c r="F627" s="147"/>
      <c r="G627" s="148"/>
      <c r="H627" s="149"/>
      <c r="I627" s="150"/>
      <c r="J627" s="149"/>
      <c r="K627" s="149"/>
      <c r="L627" s="149"/>
      <c r="M627" s="149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ht="15.75" customHeight="1">
      <c r="A628" s="10"/>
      <c r="B628" s="22"/>
      <c r="C628" s="22"/>
      <c r="D628" s="22"/>
      <c r="E628" s="22"/>
      <c r="F628" s="147"/>
      <c r="G628" s="148"/>
      <c r="H628" s="149"/>
      <c r="I628" s="150"/>
      <c r="J628" s="149"/>
      <c r="K628" s="149"/>
      <c r="L628" s="149"/>
      <c r="M628" s="149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ht="15.75" customHeight="1">
      <c r="A629" s="10"/>
      <c r="B629" s="22"/>
      <c r="C629" s="22"/>
      <c r="D629" s="22"/>
      <c r="E629" s="22"/>
      <c r="F629" s="147"/>
      <c r="G629" s="148"/>
      <c r="H629" s="149"/>
      <c r="I629" s="150"/>
      <c r="J629" s="149"/>
      <c r="K629" s="149"/>
      <c r="L629" s="149"/>
      <c r="M629" s="149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ht="15.75" customHeight="1">
      <c r="A630" s="10"/>
      <c r="B630" s="22"/>
      <c r="C630" s="22"/>
      <c r="D630" s="22"/>
      <c r="E630" s="22"/>
      <c r="F630" s="147"/>
      <c r="G630" s="148"/>
      <c r="H630" s="149"/>
      <c r="I630" s="150"/>
      <c r="J630" s="149"/>
      <c r="K630" s="149"/>
      <c r="L630" s="149"/>
      <c r="M630" s="149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ht="15.75" customHeight="1">
      <c r="A631" s="10"/>
      <c r="B631" s="22"/>
      <c r="C631" s="22"/>
      <c r="D631" s="22"/>
      <c r="E631" s="22"/>
      <c r="F631" s="147"/>
      <c r="G631" s="148"/>
      <c r="H631" s="149"/>
      <c r="I631" s="150"/>
      <c r="J631" s="149"/>
      <c r="K631" s="149"/>
      <c r="L631" s="149"/>
      <c r="M631" s="149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ht="15.75" customHeight="1">
      <c r="A632" s="10"/>
      <c r="B632" s="22"/>
      <c r="C632" s="22"/>
      <c r="D632" s="22"/>
      <c r="E632" s="22"/>
      <c r="F632" s="147"/>
      <c r="G632" s="148"/>
      <c r="H632" s="149"/>
      <c r="I632" s="150"/>
      <c r="J632" s="149"/>
      <c r="K632" s="149"/>
      <c r="L632" s="149"/>
      <c r="M632" s="149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ht="15.75" customHeight="1">
      <c r="A633" s="10"/>
      <c r="B633" s="22"/>
      <c r="C633" s="22"/>
      <c r="D633" s="22"/>
      <c r="E633" s="22"/>
      <c r="F633" s="147"/>
      <c r="G633" s="148"/>
      <c r="H633" s="149"/>
      <c r="I633" s="150"/>
      <c r="J633" s="149"/>
      <c r="K633" s="149"/>
      <c r="L633" s="149"/>
      <c r="M633" s="149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ht="15.75" customHeight="1">
      <c r="A634" s="10"/>
      <c r="B634" s="22"/>
      <c r="C634" s="22"/>
      <c r="D634" s="22"/>
      <c r="E634" s="22"/>
      <c r="F634" s="147"/>
      <c r="G634" s="148"/>
      <c r="H634" s="149"/>
      <c r="I634" s="150"/>
      <c r="J634" s="149"/>
      <c r="K634" s="149"/>
      <c r="L634" s="149"/>
      <c r="M634" s="149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ht="15.75" customHeight="1">
      <c r="A635" s="10"/>
      <c r="B635" s="22"/>
      <c r="C635" s="22"/>
      <c r="D635" s="22"/>
      <c r="E635" s="22"/>
      <c r="F635" s="147"/>
      <c r="G635" s="148"/>
      <c r="H635" s="149"/>
      <c r="I635" s="150"/>
      <c r="J635" s="149"/>
      <c r="K635" s="149"/>
      <c r="L635" s="149"/>
      <c r="M635" s="149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ht="15.75" customHeight="1">
      <c r="A636" s="10"/>
      <c r="B636" s="22"/>
      <c r="C636" s="22"/>
      <c r="D636" s="22"/>
      <c r="E636" s="22"/>
      <c r="F636" s="147"/>
      <c r="G636" s="148"/>
      <c r="H636" s="149"/>
      <c r="I636" s="150"/>
      <c r="J636" s="149"/>
      <c r="K636" s="149"/>
      <c r="L636" s="149"/>
      <c r="M636" s="149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ht="15.75" customHeight="1">
      <c r="A637" s="10"/>
      <c r="B637" s="22"/>
      <c r="C637" s="22"/>
      <c r="D637" s="22"/>
      <c r="E637" s="22"/>
      <c r="F637" s="147"/>
      <c r="G637" s="148"/>
      <c r="H637" s="149"/>
      <c r="I637" s="150"/>
      <c r="J637" s="149"/>
      <c r="K637" s="149"/>
      <c r="L637" s="149"/>
      <c r="M637" s="149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ht="15.75" customHeight="1">
      <c r="A638" s="10"/>
      <c r="B638" s="22"/>
      <c r="C638" s="22"/>
      <c r="D638" s="22"/>
      <c r="E638" s="22"/>
      <c r="F638" s="147"/>
      <c r="G638" s="148"/>
      <c r="H638" s="149"/>
      <c r="I638" s="150"/>
      <c r="J638" s="149"/>
      <c r="K638" s="149"/>
      <c r="L638" s="149"/>
      <c r="M638" s="149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ht="15.75" customHeight="1">
      <c r="A639" s="10"/>
      <c r="B639" s="22"/>
      <c r="C639" s="22"/>
      <c r="D639" s="22"/>
      <c r="E639" s="22"/>
      <c r="F639" s="147"/>
      <c r="G639" s="148"/>
      <c r="H639" s="149"/>
      <c r="I639" s="150"/>
      <c r="J639" s="149"/>
      <c r="K639" s="149"/>
      <c r="L639" s="149"/>
      <c r="M639" s="149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ht="15.75" customHeight="1">
      <c r="A640" s="10"/>
      <c r="B640" s="22"/>
      <c r="C640" s="22"/>
      <c r="D640" s="22"/>
      <c r="E640" s="22"/>
      <c r="F640" s="147"/>
      <c r="G640" s="148"/>
      <c r="H640" s="149"/>
      <c r="I640" s="150"/>
      <c r="J640" s="149"/>
      <c r="K640" s="149"/>
      <c r="L640" s="149"/>
      <c r="M640" s="149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ht="15.75" customHeight="1">
      <c r="A641" s="10"/>
      <c r="B641" s="22"/>
      <c r="C641" s="22"/>
      <c r="D641" s="22"/>
      <c r="E641" s="22"/>
      <c r="F641" s="147"/>
      <c r="G641" s="148"/>
      <c r="H641" s="149"/>
      <c r="I641" s="150"/>
      <c r="J641" s="149"/>
      <c r="K641" s="149"/>
      <c r="L641" s="149"/>
      <c r="M641" s="149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ht="15.75" customHeight="1">
      <c r="A642" s="10"/>
      <c r="B642" s="22"/>
      <c r="C642" s="22"/>
      <c r="D642" s="22"/>
      <c r="E642" s="22"/>
      <c r="F642" s="147"/>
      <c r="G642" s="148"/>
      <c r="H642" s="149"/>
      <c r="I642" s="150"/>
      <c r="J642" s="149"/>
      <c r="K642" s="149"/>
      <c r="L642" s="149"/>
      <c r="M642" s="149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ht="15.75" customHeight="1">
      <c r="A643" s="10"/>
      <c r="B643" s="22"/>
      <c r="C643" s="22"/>
      <c r="D643" s="22"/>
      <c r="E643" s="22"/>
      <c r="F643" s="147"/>
      <c r="G643" s="148"/>
      <c r="H643" s="149"/>
      <c r="I643" s="150"/>
      <c r="J643" s="149"/>
      <c r="K643" s="149"/>
      <c r="L643" s="149"/>
      <c r="M643" s="149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ht="15.75" customHeight="1">
      <c r="A644" s="10"/>
      <c r="B644" s="22"/>
      <c r="C644" s="22"/>
      <c r="D644" s="22"/>
      <c r="E644" s="22"/>
      <c r="F644" s="147"/>
      <c r="G644" s="148"/>
      <c r="H644" s="149"/>
      <c r="I644" s="150"/>
      <c r="J644" s="149"/>
      <c r="K644" s="149"/>
      <c r="L644" s="149"/>
      <c r="M644" s="149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ht="15.75" customHeight="1">
      <c r="A645" s="10"/>
      <c r="B645" s="22"/>
      <c r="C645" s="22"/>
      <c r="D645" s="22"/>
      <c r="E645" s="22"/>
      <c r="F645" s="147"/>
      <c r="G645" s="148"/>
      <c r="H645" s="149"/>
      <c r="I645" s="150"/>
      <c r="J645" s="149"/>
      <c r="K645" s="149"/>
      <c r="L645" s="149"/>
      <c r="M645" s="149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ht="15.75" customHeight="1">
      <c r="A646" s="10"/>
      <c r="B646" s="22"/>
      <c r="C646" s="22"/>
      <c r="D646" s="22"/>
      <c r="E646" s="22"/>
      <c r="F646" s="147"/>
      <c r="G646" s="148"/>
      <c r="H646" s="149"/>
      <c r="I646" s="150"/>
      <c r="J646" s="149"/>
      <c r="K646" s="149"/>
      <c r="L646" s="149"/>
      <c r="M646" s="149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ht="15.75" customHeight="1">
      <c r="A647" s="10"/>
      <c r="B647" s="22"/>
      <c r="C647" s="22"/>
      <c r="D647" s="22"/>
      <c r="E647" s="22"/>
      <c r="F647" s="147"/>
      <c r="G647" s="148"/>
      <c r="H647" s="149"/>
      <c r="I647" s="150"/>
      <c r="J647" s="149"/>
      <c r="K647" s="149"/>
      <c r="L647" s="149"/>
      <c r="M647" s="149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ht="15.75" customHeight="1">
      <c r="A648" s="10"/>
      <c r="B648" s="22"/>
      <c r="C648" s="22"/>
      <c r="D648" s="22"/>
      <c r="E648" s="22"/>
      <c r="F648" s="147"/>
      <c r="G648" s="148"/>
      <c r="H648" s="149"/>
      <c r="I648" s="150"/>
      <c r="J648" s="149"/>
      <c r="K648" s="149"/>
      <c r="L648" s="149"/>
      <c r="M648" s="149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ht="15.75" customHeight="1">
      <c r="A649" s="10"/>
      <c r="B649" s="22"/>
      <c r="C649" s="22"/>
      <c r="D649" s="22"/>
      <c r="E649" s="22"/>
      <c r="F649" s="147"/>
      <c r="G649" s="148"/>
      <c r="H649" s="149"/>
      <c r="I649" s="150"/>
      <c r="J649" s="149"/>
      <c r="K649" s="149"/>
      <c r="L649" s="149"/>
      <c r="M649" s="149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ht="15.75" customHeight="1">
      <c r="A650" s="10"/>
      <c r="B650" s="22"/>
      <c r="C650" s="22"/>
      <c r="D650" s="22"/>
      <c r="E650" s="22"/>
      <c r="F650" s="147"/>
      <c r="G650" s="148"/>
      <c r="H650" s="149"/>
      <c r="I650" s="150"/>
      <c r="J650" s="149"/>
      <c r="K650" s="149"/>
      <c r="L650" s="149"/>
      <c r="M650" s="149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ht="15.75" customHeight="1">
      <c r="A651" s="10"/>
      <c r="B651" s="22"/>
      <c r="C651" s="22"/>
      <c r="D651" s="22"/>
      <c r="E651" s="22"/>
      <c r="F651" s="147"/>
      <c r="G651" s="148"/>
      <c r="H651" s="149"/>
      <c r="I651" s="150"/>
      <c r="J651" s="149"/>
      <c r="K651" s="149"/>
      <c r="L651" s="149"/>
      <c r="M651" s="149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ht="15.75" customHeight="1">
      <c r="A652" s="10"/>
      <c r="B652" s="22"/>
      <c r="C652" s="22"/>
      <c r="D652" s="22"/>
      <c r="E652" s="22"/>
      <c r="F652" s="147"/>
      <c r="G652" s="148"/>
      <c r="H652" s="149"/>
      <c r="I652" s="150"/>
      <c r="J652" s="149"/>
      <c r="K652" s="149"/>
      <c r="L652" s="149"/>
      <c r="M652" s="149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ht="15.75" customHeight="1">
      <c r="A653" s="10"/>
      <c r="B653" s="22"/>
      <c r="C653" s="22"/>
      <c r="D653" s="22"/>
      <c r="E653" s="22"/>
      <c r="F653" s="147"/>
      <c r="G653" s="148"/>
      <c r="H653" s="149"/>
      <c r="I653" s="150"/>
      <c r="J653" s="149"/>
      <c r="K653" s="149"/>
      <c r="L653" s="149"/>
      <c r="M653" s="149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ht="15.75" customHeight="1">
      <c r="A654" s="10"/>
      <c r="B654" s="22"/>
      <c r="C654" s="22"/>
      <c r="D654" s="22"/>
      <c r="E654" s="22"/>
      <c r="F654" s="147"/>
      <c r="G654" s="148"/>
      <c r="H654" s="149"/>
      <c r="I654" s="150"/>
      <c r="J654" s="149"/>
      <c r="K654" s="149"/>
      <c r="L654" s="149"/>
      <c r="M654" s="149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ht="15.75" customHeight="1">
      <c r="A655" s="10"/>
      <c r="B655" s="22"/>
      <c r="C655" s="22"/>
      <c r="D655" s="22"/>
      <c r="E655" s="22"/>
      <c r="F655" s="147"/>
      <c r="G655" s="148"/>
      <c r="H655" s="149"/>
      <c r="I655" s="150"/>
      <c r="J655" s="149"/>
      <c r="K655" s="149"/>
      <c r="L655" s="149"/>
      <c r="M655" s="149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ht="15.75" customHeight="1">
      <c r="A656" s="10"/>
      <c r="B656" s="22"/>
      <c r="C656" s="22"/>
      <c r="D656" s="22"/>
      <c r="E656" s="22"/>
      <c r="F656" s="147"/>
      <c r="G656" s="148"/>
      <c r="H656" s="149"/>
      <c r="I656" s="150"/>
      <c r="J656" s="149"/>
      <c r="K656" s="149"/>
      <c r="L656" s="149"/>
      <c r="M656" s="149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ht="15.75" customHeight="1">
      <c r="A657" s="10"/>
      <c r="B657" s="22"/>
      <c r="C657" s="22"/>
      <c r="D657" s="22"/>
      <c r="E657" s="22"/>
      <c r="F657" s="147"/>
      <c r="G657" s="148"/>
      <c r="H657" s="149"/>
      <c r="I657" s="150"/>
      <c r="J657" s="149"/>
      <c r="K657" s="149"/>
      <c r="L657" s="149"/>
      <c r="M657" s="149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ht="15.75" customHeight="1">
      <c r="A658" s="10"/>
      <c r="B658" s="22"/>
      <c r="C658" s="22"/>
      <c r="D658" s="22"/>
      <c r="E658" s="22"/>
      <c r="F658" s="147"/>
      <c r="G658" s="148"/>
      <c r="H658" s="149"/>
      <c r="I658" s="150"/>
      <c r="J658" s="149"/>
      <c r="K658" s="149"/>
      <c r="L658" s="149"/>
      <c r="M658" s="149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ht="15.75" customHeight="1">
      <c r="A659" s="10"/>
      <c r="B659" s="22"/>
      <c r="C659" s="22"/>
      <c r="D659" s="22"/>
      <c r="E659" s="22"/>
      <c r="F659" s="147"/>
      <c r="G659" s="148"/>
      <c r="H659" s="149"/>
      <c r="I659" s="150"/>
      <c r="J659" s="149"/>
      <c r="K659" s="149"/>
      <c r="L659" s="149"/>
      <c r="M659" s="149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ht="15.75" customHeight="1">
      <c r="A660" s="10"/>
      <c r="B660" s="22"/>
      <c r="C660" s="22"/>
      <c r="D660" s="22"/>
      <c r="E660" s="22"/>
      <c r="F660" s="147"/>
      <c r="G660" s="148"/>
      <c r="H660" s="149"/>
      <c r="I660" s="150"/>
      <c r="J660" s="149"/>
      <c r="K660" s="149"/>
      <c r="L660" s="149"/>
      <c r="M660" s="149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ht="15.75" customHeight="1">
      <c r="A661" s="10"/>
      <c r="B661" s="22"/>
      <c r="C661" s="22"/>
      <c r="D661" s="22"/>
      <c r="E661" s="22"/>
      <c r="F661" s="147"/>
      <c r="G661" s="148"/>
      <c r="H661" s="149"/>
      <c r="I661" s="150"/>
      <c r="J661" s="149"/>
      <c r="K661" s="149"/>
      <c r="L661" s="149"/>
      <c r="M661" s="149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ht="15.75" customHeight="1">
      <c r="A662" s="10"/>
      <c r="B662" s="22"/>
      <c r="C662" s="22"/>
      <c r="D662" s="22"/>
      <c r="E662" s="22"/>
      <c r="F662" s="147"/>
      <c r="G662" s="148"/>
      <c r="H662" s="149"/>
      <c r="I662" s="150"/>
      <c r="J662" s="149"/>
      <c r="K662" s="149"/>
      <c r="L662" s="149"/>
      <c r="M662" s="149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ht="15.75" customHeight="1">
      <c r="A663" s="10"/>
      <c r="B663" s="22"/>
      <c r="C663" s="22"/>
      <c r="D663" s="22"/>
      <c r="E663" s="22"/>
      <c r="F663" s="147"/>
      <c r="G663" s="148"/>
      <c r="H663" s="149"/>
      <c r="I663" s="150"/>
      <c r="J663" s="149"/>
      <c r="K663" s="149"/>
      <c r="L663" s="149"/>
      <c r="M663" s="149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ht="15.75" customHeight="1">
      <c r="A664" s="10"/>
      <c r="B664" s="22"/>
      <c r="C664" s="22"/>
      <c r="D664" s="22"/>
      <c r="E664" s="22"/>
      <c r="F664" s="147"/>
      <c r="G664" s="148"/>
      <c r="H664" s="149"/>
      <c r="I664" s="150"/>
      <c r="J664" s="149"/>
      <c r="K664" s="149"/>
      <c r="L664" s="149"/>
      <c r="M664" s="149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ht="15.75" customHeight="1">
      <c r="A665" s="10"/>
      <c r="B665" s="22"/>
      <c r="C665" s="22"/>
      <c r="D665" s="22"/>
      <c r="E665" s="22"/>
      <c r="F665" s="147"/>
      <c r="G665" s="148"/>
      <c r="H665" s="149"/>
      <c r="I665" s="150"/>
      <c r="J665" s="149"/>
      <c r="K665" s="149"/>
      <c r="L665" s="149"/>
      <c r="M665" s="149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ht="15.75" customHeight="1">
      <c r="A666" s="10"/>
      <c r="B666" s="22"/>
      <c r="C666" s="22"/>
      <c r="D666" s="22"/>
      <c r="E666" s="22"/>
      <c r="F666" s="147"/>
      <c r="G666" s="148"/>
      <c r="H666" s="149"/>
      <c r="I666" s="150"/>
      <c r="J666" s="149"/>
      <c r="K666" s="149"/>
      <c r="L666" s="149"/>
      <c r="M666" s="149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ht="15.75" customHeight="1">
      <c r="A667" s="10"/>
      <c r="B667" s="22"/>
      <c r="C667" s="22"/>
      <c r="D667" s="22"/>
      <c r="E667" s="22"/>
      <c r="F667" s="147"/>
      <c r="G667" s="148"/>
      <c r="H667" s="149"/>
      <c r="I667" s="150"/>
      <c r="J667" s="149"/>
      <c r="K667" s="149"/>
      <c r="L667" s="149"/>
      <c r="M667" s="149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ht="15.75" customHeight="1">
      <c r="A668" s="10"/>
      <c r="B668" s="22"/>
      <c r="C668" s="22"/>
      <c r="D668" s="22"/>
      <c r="E668" s="22"/>
      <c r="F668" s="147"/>
      <c r="G668" s="148"/>
      <c r="H668" s="149"/>
      <c r="I668" s="150"/>
      <c r="J668" s="149"/>
      <c r="K668" s="149"/>
      <c r="L668" s="149"/>
      <c r="M668" s="149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ht="15.75" customHeight="1">
      <c r="A669" s="10"/>
      <c r="B669" s="22"/>
      <c r="C669" s="22"/>
      <c r="D669" s="22"/>
      <c r="E669" s="22"/>
      <c r="F669" s="147"/>
      <c r="G669" s="148"/>
      <c r="H669" s="149"/>
      <c r="I669" s="150"/>
      <c r="J669" s="149"/>
      <c r="K669" s="149"/>
      <c r="L669" s="149"/>
      <c r="M669" s="149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ht="15.75" customHeight="1">
      <c r="A670" s="10"/>
      <c r="B670" s="22"/>
      <c r="C670" s="22"/>
      <c r="D670" s="22"/>
      <c r="E670" s="22"/>
      <c r="F670" s="147"/>
      <c r="G670" s="148"/>
      <c r="H670" s="149"/>
      <c r="I670" s="150"/>
      <c r="J670" s="149"/>
      <c r="K670" s="149"/>
      <c r="L670" s="149"/>
      <c r="M670" s="149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ht="15.75" customHeight="1">
      <c r="A671" s="10"/>
      <c r="B671" s="22"/>
      <c r="C671" s="22"/>
      <c r="D671" s="22"/>
      <c r="E671" s="22"/>
      <c r="F671" s="147"/>
      <c r="G671" s="148"/>
      <c r="H671" s="149"/>
      <c r="I671" s="150"/>
      <c r="J671" s="149"/>
      <c r="K671" s="149"/>
      <c r="L671" s="149"/>
      <c r="M671" s="149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ht="15.75" customHeight="1">
      <c r="A672" s="10"/>
      <c r="B672" s="22"/>
      <c r="C672" s="22"/>
      <c r="D672" s="22"/>
      <c r="E672" s="22"/>
      <c r="F672" s="147"/>
      <c r="G672" s="148"/>
      <c r="H672" s="149"/>
      <c r="I672" s="150"/>
      <c r="J672" s="149"/>
      <c r="K672" s="149"/>
      <c r="L672" s="149"/>
      <c r="M672" s="149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ht="15.75" customHeight="1">
      <c r="A673" s="10"/>
      <c r="B673" s="22"/>
      <c r="C673" s="22"/>
      <c r="D673" s="22"/>
      <c r="E673" s="22"/>
      <c r="F673" s="147"/>
      <c r="G673" s="148"/>
      <c r="H673" s="149"/>
      <c r="I673" s="150"/>
      <c r="J673" s="149"/>
      <c r="K673" s="149"/>
      <c r="L673" s="149"/>
      <c r="M673" s="149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ht="15.75" customHeight="1">
      <c r="A674" s="10"/>
      <c r="B674" s="22"/>
      <c r="C674" s="22"/>
      <c r="D674" s="22"/>
      <c r="E674" s="22"/>
      <c r="F674" s="147"/>
      <c r="G674" s="148"/>
      <c r="H674" s="149"/>
      <c r="I674" s="150"/>
      <c r="J674" s="149"/>
      <c r="K674" s="149"/>
      <c r="L674" s="149"/>
      <c r="M674" s="149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ht="15.75" customHeight="1">
      <c r="A675" s="10"/>
      <c r="B675" s="22"/>
      <c r="C675" s="22"/>
      <c r="D675" s="22"/>
      <c r="E675" s="22"/>
      <c r="F675" s="147"/>
      <c r="G675" s="148"/>
      <c r="H675" s="149"/>
      <c r="I675" s="150"/>
      <c r="J675" s="149"/>
      <c r="K675" s="149"/>
      <c r="L675" s="149"/>
      <c r="M675" s="149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ht="15.75" customHeight="1">
      <c r="A676" s="10"/>
      <c r="B676" s="22"/>
      <c r="C676" s="22"/>
      <c r="D676" s="22"/>
      <c r="E676" s="22"/>
      <c r="F676" s="147"/>
      <c r="G676" s="148"/>
      <c r="H676" s="149"/>
      <c r="I676" s="150"/>
      <c r="J676" s="149"/>
      <c r="K676" s="149"/>
      <c r="L676" s="149"/>
      <c r="M676" s="149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ht="15.75" customHeight="1">
      <c r="A677" s="10"/>
      <c r="B677" s="22"/>
      <c r="C677" s="22"/>
      <c r="D677" s="22"/>
      <c r="E677" s="22"/>
      <c r="F677" s="147"/>
      <c r="G677" s="148"/>
      <c r="H677" s="149"/>
      <c r="I677" s="150"/>
      <c r="J677" s="149"/>
      <c r="K677" s="149"/>
      <c r="L677" s="149"/>
      <c r="M677" s="149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ht="15.75" customHeight="1">
      <c r="A678" s="10"/>
      <c r="B678" s="22"/>
      <c r="C678" s="22"/>
      <c r="D678" s="22"/>
      <c r="E678" s="22"/>
      <c r="F678" s="147"/>
      <c r="G678" s="148"/>
      <c r="H678" s="149"/>
      <c r="I678" s="150"/>
      <c r="J678" s="149"/>
      <c r="K678" s="149"/>
      <c r="L678" s="149"/>
      <c r="M678" s="149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ht="15.75" customHeight="1">
      <c r="A679" s="10"/>
      <c r="B679" s="22"/>
      <c r="C679" s="22"/>
      <c r="D679" s="22"/>
      <c r="E679" s="22"/>
      <c r="F679" s="147"/>
      <c r="G679" s="148"/>
      <c r="H679" s="149"/>
      <c r="I679" s="150"/>
      <c r="J679" s="149"/>
      <c r="K679" s="149"/>
      <c r="L679" s="149"/>
      <c r="M679" s="149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ht="15.75" customHeight="1">
      <c r="A680" s="10"/>
      <c r="B680" s="22"/>
      <c r="C680" s="22"/>
      <c r="D680" s="22"/>
      <c r="E680" s="22"/>
      <c r="F680" s="147"/>
      <c r="G680" s="148"/>
      <c r="H680" s="149"/>
      <c r="I680" s="150"/>
      <c r="J680" s="149"/>
      <c r="K680" s="149"/>
      <c r="L680" s="149"/>
      <c r="M680" s="149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ht="15.75" customHeight="1">
      <c r="A681" s="10"/>
      <c r="B681" s="22"/>
      <c r="C681" s="22"/>
      <c r="D681" s="22"/>
      <c r="E681" s="22"/>
      <c r="F681" s="147"/>
      <c r="G681" s="148"/>
      <c r="H681" s="149"/>
      <c r="I681" s="150"/>
      <c r="J681" s="149"/>
      <c r="K681" s="149"/>
      <c r="L681" s="149"/>
      <c r="M681" s="149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ht="15.75" customHeight="1">
      <c r="A682" s="10"/>
      <c r="B682" s="22"/>
      <c r="C682" s="22"/>
      <c r="D682" s="22"/>
      <c r="E682" s="22"/>
      <c r="F682" s="147"/>
      <c r="G682" s="148"/>
      <c r="H682" s="149"/>
      <c r="I682" s="150"/>
      <c r="J682" s="149"/>
      <c r="K682" s="149"/>
      <c r="L682" s="149"/>
      <c r="M682" s="149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ht="15.75" customHeight="1">
      <c r="A683" s="10"/>
      <c r="B683" s="22"/>
      <c r="C683" s="22"/>
      <c r="D683" s="22"/>
      <c r="E683" s="22"/>
      <c r="F683" s="147"/>
      <c r="G683" s="148"/>
      <c r="H683" s="149"/>
      <c r="I683" s="150"/>
      <c r="J683" s="149"/>
      <c r="K683" s="149"/>
      <c r="L683" s="149"/>
      <c r="M683" s="149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ht="15.75" customHeight="1">
      <c r="A684" s="10"/>
      <c r="B684" s="22"/>
      <c r="C684" s="22"/>
      <c r="D684" s="22"/>
      <c r="E684" s="22"/>
      <c r="F684" s="147"/>
      <c r="G684" s="148"/>
      <c r="H684" s="149"/>
      <c r="I684" s="150"/>
      <c r="J684" s="149"/>
      <c r="K684" s="149"/>
      <c r="L684" s="149"/>
      <c r="M684" s="149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ht="15.75" customHeight="1">
      <c r="A685" s="10"/>
      <c r="B685" s="22"/>
      <c r="C685" s="22"/>
      <c r="D685" s="22"/>
      <c r="E685" s="22"/>
      <c r="F685" s="147"/>
      <c r="G685" s="148"/>
      <c r="H685" s="149"/>
      <c r="I685" s="150"/>
      <c r="J685" s="149"/>
      <c r="K685" s="149"/>
      <c r="L685" s="149"/>
      <c r="M685" s="149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ht="15.75" customHeight="1">
      <c r="A686" s="10"/>
      <c r="B686" s="22"/>
      <c r="C686" s="22"/>
      <c r="D686" s="22"/>
      <c r="E686" s="22"/>
      <c r="F686" s="147"/>
      <c r="G686" s="148"/>
      <c r="H686" s="149"/>
      <c r="I686" s="150"/>
      <c r="J686" s="149"/>
      <c r="K686" s="149"/>
      <c r="L686" s="149"/>
      <c r="M686" s="149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ht="15.75" customHeight="1">
      <c r="A687" s="10"/>
      <c r="B687" s="22"/>
      <c r="C687" s="22"/>
      <c r="D687" s="22"/>
      <c r="E687" s="22"/>
      <c r="F687" s="147"/>
      <c r="G687" s="148"/>
      <c r="H687" s="149"/>
      <c r="I687" s="150"/>
      <c r="J687" s="149"/>
      <c r="K687" s="149"/>
      <c r="L687" s="149"/>
      <c r="M687" s="149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ht="15.75" customHeight="1">
      <c r="A688" s="10"/>
      <c r="B688" s="22"/>
      <c r="C688" s="22"/>
      <c r="D688" s="22"/>
      <c r="E688" s="22"/>
      <c r="F688" s="147"/>
      <c r="G688" s="148"/>
      <c r="H688" s="149"/>
      <c r="I688" s="150"/>
      <c r="J688" s="149"/>
      <c r="K688" s="149"/>
      <c r="L688" s="149"/>
      <c r="M688" s="149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ht="15.75" customHeight="1">
      <c r="A689" s="10"/>
      <c r="B689" s="22"/>
      <c r="C689" s="22"/>
      <c r="D689" s="22"/>
      <c r="E689" s="22"/>
      <c r="F689" s="147"/>
      <c r="G689" s="148"/>
      <c r="H689" s="149"/>
      <c r="I689" s="150"/>
      <c r="J689" s="149"/>
      <c r="K689" s="149"/>
      <c r="L689" s="149"/>
      <c r="M689" s="149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ht="15.75" customHeight="1">
      <c r="A690" s="10"/>
      <c r="B690" s="22"/>
      <c r="C690" s="22"/>
      <c r="D690" s="22"/>
      <c r="E690" s="22"/>
      <c r="F690" s="147"/>
      <c r="G690" s="148"/>
      <c r="H690" s="149"/>
      <c r="I690" s="150"/>
      <c r="J690" s="149"/>
      <c r="K690" s="149"/>
      <c r="L690" s="149"/>
      <c r="M690" s="149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ht="15.75" customHeight="1">
      <c r="A691" s="10"/>
      <c r="B691" s="22"/>
      <c r="C691" s="22"/>
      <c r="D691" s="22"/>
      <c r="E691" s="22"/>
      <c r="F691" s="147"/>
      <c r="G691" s="148"/>
      <c r="H691" s="149"/>
      <c r="I691" s="150"/>
      <c r="J691" s="149"/>
      <c r="K691" s="149"/>
      <c r="L691" s="149"/>
      <c r="M691" s="149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ht="15.75" customHeight="1">
      <c r="A692" s="10"/>
      <c r="B692" s="22"/>
      <c r="C692" s="22"/>
      <c r="D692" s="22"/>
      <c r="E692" s="22"/>
      <c r="F692" s="147"/>
      <c r="G692" s="148"/>
      <c r="H692" s="149"/>
      <c r="I692" s="150"/>
      <c r="J692" s="149"/>
      <c r="K692" s="149"/>
      <c r="L692" s="149"/>
      <c r="M692" s="149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ht="15.75" customHeight="1">
      <c r="A693" s="10"/>
      <c r="B693" s="22"/>
      <c r="C693" s="22"/>
      <c r="D693" s="22"/>
      <c r="E693" s="22"/>
      <c r="F693" s="147"/>
      <c r="G693" s="148"/>
      <c r="H693" s="149"/>
      <c r="I693" s="150"/>
      <c r="J693" s="149"/>
      <c r="K693" s="149"/>
      <c r="L693" s="149"/>
      <c r="M693" s="149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ht="15.75" customHeight="1">
      <c r="A694" s="10"/>
      <c r="B694" s="22"/>
      <c r="C694" s="22"/>
      <c r="D694" s="22"/>
      <c r="E694" s="22"/>
      <c r="F694" s="147"/>
      <c r="G694" s="148"/>
      <c r="H694" s="149"/>
      <c r="I694" s="150"/>
      <c r="J694" s="149"/>
      <c r="K694" s="149"/>
      <c r="L694" s="149"/>
      <c r="M694" s="149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ht="15.75" customHeight="1">
      <c r="A695" s="10"/>
      <c r="B695" s="22"/>
      <c r="C695" s="22"/>
      <c r="D695" s="22"/>
      <c r="E695" s="22"/>
      <c r="F695" s="147"/>
      <c r="G695" s="148"/>
      <c r="H695" s="149"/>
      <c r="I695" s="150"/>
      <c r="J695" s="149"/>
      <c r="K695" s="149"/>
      <c r="L695" s="149"/>
      <c r="M695" s="149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ht="15.75" customHeight="1">
      <c r="A696" s="10"/>
      <c r="B696" s="22"/>
      <c r="C696" s="22"/>
      <c r="D696" s="22"/>
      <c r="E696" s="22"/>
      <c r="F696" s="147"/>
      <c r="G696" s="148"/>
      <c r="H696" s="149"/>
      <c r="I696" s="150"/>
      <c r="J696" s="149"/>
      <c r="K696" s="149"/>
      <c r="L696" s="149"/>
      <c r="M696" s="149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ht="15.75" customHeight="1">
      <c r="A697" s="10"/>
      <c r="B697" s="22"/>
      <c r="C697" s="22"/>
      <c r="D697" s="22"/>
      <c r="E697" s="22"/>
      <c r="F697" s="147"/>
      <c r="G697" s="148"/>
      <c r="H697" s="149"/>
      <c r="I697" s="150"/>
      <c r="J697" s="149"/>
      <c r="K697" s="149"/>
      <c r="L697" s="149"/>
      <c r="M697" s="149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ht="15.75" customHeight="1">
      <c r="A698" s="10"/>
      <c r="B698" s="22"/>
      <c r="C698" s="22"/>
      <c r="D698" s="22"/>
      <c r="E698" s="22"/>
      <c r="F698" s="147"/>
      <c r="G698" s="148"/>
      <c r="H698" s="149"/>
      <c r="I698" s="150"/>
      <c r="J698" s="149"/>
      <c r="K698" s="149"/>
      <c r="L698" s="149"/>
      <c r="M698" s="149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ht="15.75" customHeight="1">
      <c r="A699" s="10"/>
      <c r="B699" s="22"/>
      <c r="C699" s="22"/>
      <c r="D699" s="22"/>
      <c r="E699" s="22"/>
      <c r="F699" s="147"/>
      <c r="G699" s="148"/>
      <c r="H699" s="149"/>
      <c r="I699" s="150"/>
      <c r="J699" s="149"/>
      <c r="K699" s="149"/>
      <c r="L699" s="149"/>
      <c r="M699" s="149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ht="15.75" customHeight="1">
      <c r="A700" s="10"/>
      <c r="B700" s="22"/>
      <c r="C700" s="22"/>
      <c r="D700" s="22"/>
      <c r="E700" s="22"/>
      <c r="F700" s="147"/>
      <c r="G700" s="148"/>
      <c r="H700" s="149"/>
      <c r="I700" s="150"/>
      <c r="J700" s="149"/>
      <c r="K700" s="149"/>
      <c r="L700" s="149"/>
      <c r="M700" s="149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ht="15.75" customHeight="1">
      <c r="A701" s="10"/>
      <c r="B701" s="22"/>
      <c r="C701" s="22"/>
      <c r="D701" s="22"/>
      <c r="E701" s="22"/>
      <c r="F701" s="147"/>
      <c r="G701" s="148"/>
      <c r="H701" s="149"/>
      <c r="I701" s="150"/>
      <c r="J701" s="149"/>
      <c r="K701" s="149"/>
      <c r="L701" s="149"/>
      <c r="M701" s="149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ht="15.75" customHeight="1">
      <c r="A702" s="10"/>
      <c r="B702" s="22"/>
      <c r="C702" s="22"/>
      <c r="D702" s="22"/>
      <c r="E702" s="22"/>
      <c r="F702" s="147"/>
      <c r="G702" s="148"/>
      <c r="H702" s="149"/>
      <c r="I702" s="150"/>
      <c r="J702" s="149"/>
      <c r="K702" s="149"/>
      <c r="L702" s="149"/>
      <c r="M702" s="149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ht="15.75" customHeight="1">
      <c r="A703" s="10"/>
      <c r="B703" s="22"/>
      <c r="C703" s="22"/>
      <c r="D703" s="22"/>
      <c r="E703" s="22"/>
      <c r="F703" s="147"/>
      <c r="G703" s="148"/>
      <c r="H703" s="149"/>
      <c r="I703" s="150"/>
      <c r="J703" s="149"/>
      <c r="K703" s="149"/>
      <c r="L703" s="149"/>
      <c r="M703" s="149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ht="15.75" customHeight="1">
      <c r="A704" s="10"/>
      <c r="B704" s="22"/>
      <c r="C704" s="22"/>
      <c r="D704" s="22"/>
      <c r="E704" s="22"/>
      <c r="F704" s="147"/>
      <c r="G704" s="148"/>
      <c r="H704" s="149"/>
      <c r="I704" s="150"/>
      <c r="J704" s="149"/>
      <c r="K704" s="149"/>
      <c r="L704" s="149"/>
      <c r="M704" s="149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ht="15.75" customHeight="1">
      <c r="A705" s="10"/>
      <c r="B705" s="22"/>
      <c r="C705" s="22"/>
      <c r="D705" s="22"/>
      <c r="E705" s="22"/>
      <c r="F705" s="147"/>
      <c r="G705" s="148"/>
      <c r="H705" s="149"/>
      <c r="I705" s="150"/>
      <c r="J705" s="149"/>
      <c r="K705" s="149"/>
      <c r="L705" s="149"/>
      <c r="M705" s="149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ht="15.75" customHeight="1">
      <c r="A706" s="10"/>
      <c r="B706" s="22"/>
      <c r="C706" s="22"/>
      <c r="D706" s="22"/>
      <c r="E706" s="22"/>
      <c r="F706" s="147"/>
      <c r="G706" s="148"/>
      <c r="H706" s="149"/>
      <c r="I706" s="150"/>
      <c r="J706" s="149"/>
      <c r="K706" s="149"/>
      <c r="L706" s="149"/>
      <c r="M706" s="149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ht="15.75" customHeight="1">
      <c r="A707" s="10"/>
      <c r="B707" s="22"/>
      <c r="C707" s="22"/>
      <c r="D707" s="22"/>
      <c r="E707" s="22"/>
      <c r="F707" s="147"/>
      <c r="G707" s="148"/>
      <c r="H707" s="149"/>
      <c r="I707" s="150"/>
      <c r="J707" s="149"/>
      <c r="K707" s="149"/>
      <c r="L707" s="149"/>
      <c r="M707" s="149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ht="15.75" customHeight="1">
      <c r="A708" s="10"/>
      <c r="B708" s="22"/>
      <c r="C708" s="22"/>
      <c r="D708" s="22"/>
      <c r="E708" s="22"/>
      <c r="F708" s="147"/>
      <c r="G708" s="148"/>
      <c r="H708" s="149"/>
      <c r="I708" s="150"/>
      <c r="J708" s="149"/>
      <c r="K708" s="149"/>
      <c r="L708" s="149"/>
      <c r="M708" s="149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ht="15.75" customHeight="1">
      <c r="A709" s="10"/>
      <c r="B709" s="22"/>
      <c r="C709" s="22"/>
      <c r="D709" s="22"/>
      <c r="E709" s="22"/>
      <c r="F709" s="147"/>
      <c r="G709" s="148"/>
      <c r="H709" s="149"/>
      <c r="I709" s="150"/>
      <c r="J709" s="149"/>
      <c r="K709" s="149"/>
      <c r="L709" s="149"/>
      <c r="M709" s="149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ht="15.75" customHeight="1">
      <c r="A710" s="10"/>
      <c r="B710" s="22"/>
      <c r="C710" s="22"/>
      <c r="D710" s="22"/>
      <c r="E710" s="22"/>
      <c r="F710" s="147"/>
      <c r="G710" s="148"/>
      <c r="H710" s="149"/>
      <c r="I710" s="150"/>
      <c r="J710" s="149"/>
      <c r="K710" s="149"/>
      <c r="L710" s="149"/>
      <c r="M710" s="149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ht="15.75" customHeight="1">
      <c r="A711" s="10"/>
      <c r="B711" s="22"/>
      <c r="C711" s="22"/>
      <c r="D711" s="22"/>
      <c r="E711" s="22"/>
      <c r="F711" s="147"/>
      <c r="G711" s="148"/>
      <c r="H711" s="149"/>
      <c r="I711" s="150"/>
      <c r="J711" s="149"/>
      <c r="K711" s="149"/>
      <c r="L711" s="149"/>
      <c r="M711" s="149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ht="15.75" customHeight="1">
      <c r="A712" s="10"/>
      <c r="B712" s="22"/>
      <c r="C712" s="22"/>
      <c r="D712" s="22"/>
      <c r="E712" s="22"/>
      <c r="F712" s="147"/>
      <c r="G712" s="148"/>
      <c r="H712" s="149"/>
      <c r="I712" s="150"/>
      <c r="J712" s="149"/>
      <c r="K712" s="149"/>
      <c r="L712" s="149"/>
      <c r="M712" s="149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 ht="15.75" customHeight="1">
      <c r="A713" s="10"/>
      <c r="B713" s="22"/>
      <c r="C713" s="22"/>
      <c r="D713" s="22"/>
      <c r="E713" s="22"/>
      <c r="F713" s="147"/>
      <c r="G713" s="148"/>
      <c r="H713" s="149"/>
      <c r="I713" s="150"/>
      <c r="J713" s="149"/>
      <c r="K713" s="149"/>
      <c r="L713" s="149"/>
      <c r="M713" s="149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 ht="15.75" customHeight="1">
      <c r="A714" s="10"/>
      <c r="B714" s="22"/>
      <c r="C714" s="22"/>
      <c r="D714" s="22"/>
      <c r="E714" s="22"/>
      <c r="F714" s="147"/>
      <c r="G714" s="148"/>
      <c r="H714" s="149"/>
      <c r="I714" s="150"/>
      <c r="J714" s="149"/>
      <c r="K714" s="149"/>
      <c r="L714" s="149"/>
      <c r="M714" s="149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 ht="15.75" customHeight="1">
      <c r="A715" s="10"/>
      <c r="B715" s="22"/>
      <c r="C715" s="22"/>
      <c r="D715" s="22"/>
      <c r="E715" s="22"/>
      <c r="F715" s="147"/>
      <c r="G715" s="148"/>
      <c r="H715" s="149"/>
      <c r="I715" s="150"/>
      <c r="J715" s="149"/>
      <c r="K715" s="149"/>
      <c r="L715" s="149"/>
      <c r="M715" s="149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 ht="15.75" customHeight="1">
      <c r="A716" s="10"/>
      <c r="B716" s="22"/>
      <c r="C716" s="22"/>
      <c r="D716" s="22"/>
      <c r="E716" s="22"/>
      <c r="F716" s="147"/>
      <c r="G716" s="148"/>
      <c r="H716" s="149"/>
      <c r="I716" s="150"/>
      <c r="J716" s="149"/>
      <c r="K716" s="149"/>
      <c r="L716" s="149"/>
      <c r="M716" s="149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 ht="15.75" customHeight="1">
      <c r="A717" s="10"/>
      <c r="B717" s="22"/>
      <c r="C717" s="22"/>
      <c r="D717" s="22"/>
      <c r="E717" s="22"/>
      <c r="F717" s="147"/>
      <c r="G717" s="148"/>
      <c r="H717" s="149"/>
      <c r="I717" s="150"/>
      <c r="J717" s="149"/>
      <c r="K717" s="149"/>
      <c r="L717" s="149"/>
      <c r="M717" s="149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 ht="15.75" customHeight="1">
      <c r="A718" s="10"/>
      <c r="B718" s="22"/>
      <c r="C718" s="22"/>
      <c r="D718" s="22"/>
      <c r="E718" s="22"/>
      <c r="F718" s="147"/>
      <c r="G718" s="148"/>
      <c r="H718" s="149"/>
      <c r="I718" s="150"/>
      <c r="J718" s="149"/>
      <c r="K718" s="149"/>
      <c r="L718" s="149"/>
      <c r="M718" s="149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 ht="15.75" customHeight="1">
      <c r="A719" s="10"/>
      <c r="B719" s="22"/>
      <c r="C719" s="22"/>
      <c r="D719" s="22"/>
      <c r="E719" s="22"/>
      <c r="F719" s="147"/>
      <c r="G719" s="148"/>
      <c r="H719" s="149"/>
      <c r="I719" s="150"/>
      <c r="J719" s="149"/>
      <c r="K719" s="149"/>
      <c r="L719" s="149"/>
      <c r="M719" s="149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 ht="15.75" customHeight="1">
      <c r="A720" s="10"/>
      <c r="B720" s="22"/>
      <c r="C720" s="22"/>
      <c r="D720" s="22"/>
      <c r="E720" s="22"/>
      <c r="F720" s="147"/>
      <c r="G720" s="148"/>
      <c r="H720" s="149"/>
      <c r="I720" s="150"/>
      <c r="J720" s="149"/>
      <c r="K720" s="149"/>
      <c r="L720" s="149"/>
      <c r="M720" s="149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 ht="15.75" customHeight="1">
      <c r="A721" s="10"/>
      <c r="B721" s="22"/>
      <c r="C721" s="22"/>
      <c r="D721" s="22"/>
      <c r="E721" s="22"/>
      <c r="F721" s="147"/>
      <c r="G721" s="148"/>
      <c r="H721" s="149"/>
      <c r="I721" s="150"/>
      <c r="J721" s="149"/>
      <c r="K721" s="149"/>
      <c r="L721" s="149"/>
      <c r="M721" s="149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 ht="15.75" customHeight="1">
      <c r="A722" s="10"/>
      <c r="B722" s="22"/>
      <c r="C722" s="22"/>
      <c r="D722" s="22"/>
      <c r="E722" s="22"/>
      <c r="F722" s="147"/>
      <c r="G722" s="148"/>
      <c r="H722" s="149"/>
      <c r="I722" s="150"/>
      <c r="J722" s="149"/>
      <c r="K722" s="149"/>
      <c r="L722" s="149"/>
      <c r="M722" s="149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 ht="15.75" customHeight="1">
      <c r="A723" s="10"/>
      <c r="B723" s="22"/>
      <c r="C723" s="22"/>
      <c r="D723" s="22"/>
      <c r="E723" s="22"/>
      <c r="F723" s="147"/>
      <c r="G723" s="148"/>
      <c r="H723" s="149"/>
      <c r="I723" s="150"/>
      <c r="J723" s="149"/>
      <c r="K723" s="149"/>
      <c r="L723" s="149"/>
      <c r="M723" s="149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 ht="15.75" customHeight="1">
      <c r="A724" s="10"/>
      <c r="B724" s="22"/>
      <c r="C724" s="22"/>
      <c r="D724" s="22"/>
      <c r="E724" s="22"/>
      <c r="F724" s="147"/>
      <c r="G724" s="148"/>
      <c r="H724" s="149"/>
      <c r="I724" s="150"/>
      <c r="J724" s="149"/>
      <c r="K724" s="149"/>
      <c r="L724" s="149"/>
      <c r="M724" s="149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 ht="15.75" customHeight="1">
      <c r="A725" s="10"/>
      <c r="B725" s="22"/>
      <c r="C725" s="22"/>
      <c r="D725" s="22"/>
      <c r="E725" s="22"/>
      <c r="F725" s="147"/>
      <c r="G725" s="148"/>
      <c r="H725" s="149"/>
      <c r="I725" s="150"/>
      <c r="J725" s="149"/>
      <c r="K725" s="149"/>
      <c r="L725" s="149"/>
      <c r="M725" s="149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 ht="15.75" customHeight="1">
      <c r="A726" s="10"/>
      <c r="B726" s="22"/>
      <c r="C726" s="22"/>
      <c r="D726" s="22"/>
      <c r="E726" s="22"/>
      <c r="F726" s="147"/>
      <c r="G726" s="148"/>
      <c r="H726" s="149"/>
      <c r="I726" s="150"/>
      <c r="J726" s="149"/>
      <c r="K726" s="149"/>
      <c r="L726" s="149"/>
      <c r="M726" s="149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 ht="15.75" customHeight="1">
      <c r="A727" s="10"/>
      <c r="B727" s="22"/>
      <c r="C727" s="22"/>
      <c r="D727" s="22"/>
      <c r="E727" s="22"/>
      <c r="F727" s="147"/>
      <c r="G727" s="148"/>
      <c r="H727" s="149"/>
      <c r="I727" s="150"/>
      <c r="J727" s="149"/>
      <c r="K727" s="149"/>
      <c r="L727" s="149"/>
      <c r="M727" s="149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 ht="15.75" customHeight="1">
      <c r="A728" s="10"/>
      <c r="B728" s="22"/>
      <c r="C728" s="22"/>
      <c r="D728" s="22"/>
      <c r="E728" s="22"/>
      <c r="F728" s="147"/>
      <c r="G728" s="148"/>
      <c r="H728" s="149"/>
      <c r="I728" s="150"/>
      <c r="J728" s="149"/>
      <c r="K728" s="149"/>
      <c r="L728" s="149"/>
      <c r="M728" s="149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 ht="15.75" customHeight="1">
      <c r="A729" s="10"/>
      <c r="B729" s="22"/>
      <c r="C729" s="22"/>
      <c r="D729" s="22"/>
      <c r="E729" s="22"/>
      <c r="F729" s="147"/>
      <c r="G729" s="148"/>
      <c r="H729" s="149"/>
      <c r="I729" s="150"/>
      <c r="J729" s="149"/>
      <c r="K729" s="149"/>
      <c r="L729" s="149"/>
      <c r="M729" s="149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 ht="15.75" customHeight="1">
      <c r="A730" s="10"/>
      <c r="B730" s="22"/>
      <c r="C730" s="22"/>
      <c r="D730" s="22"/>
      <c r="E730" s="22"/>
      <c r="F730" s="147"/>
      <c r="G730" s="148"/>
      <c r="H730" s="149"/>
      <c r="I730" s="150"/>
      <c r="J730" s="149"/>
      <c r="K730" s="149"/>
      <c r="L730" s="149"/>
      <c r="M730" s="149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 ht="15.75" customHeight="1">
      <c r="A731" s="10"/>
      <c r="B731" s="22"/>
      <c r="C731" s="22"/>
      <c r="D731" s="22"/>
      <c r="E731" s="22"/>
      <c r="F731" s="147"/>
      <c r="G731" s="148"/>
      <c r="H731" s="149"/>
      <c r="I731" s="150"/>
      <c r="J731" s="149"/>
      <c r="K731" s="149"/>
      <c r="L731" s="149"/>
      <c r="M731" s="149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 ht="15.75" customHeight="1">
      <c r="A732" s="10"/>
      <c r="B732" s="22"/>
      <c r="C732" s="22"/>
      <c r="D732" s="22"/>
      <c r="E732" s="22"/>
      <c r="F732" s="147"/>
      <c r="G732" s="148"/>
      <c r="H732" s="149"/>
      <c r="I732" s="150"/>
      <c r="J732" s="149"/>
      <c r="K732" s="149"/>
      <c r="L732" s="149"/>
      <c r="M732" s="149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 ht="15.75" customHeight="1">
      <c r="A733" s="10"/>
      <c r="B733" s="22"/>
      <c r="C733" s="22"/>
      <c r="D733" s="22"/>
      <c r="E733" s="22"/>
      <c r="F733" s="147"/>
      <c r="G733" s="148"/>
      <c r="H733" s="149"/>
      <c r="I733" s="150"/>
      <c r="J733" s="149"/>
      <c r="K733" s="149"/>
      <c r="L733" s="149"/>
      <c r="M733" s="149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 ht="15.75" customHeight="1">
      <c r="A734" s="10"/>
      <c r="B734" s="22"/>
      <c r="C734" s="22"/>
      <c r="D734" s="22"/>
      <c r="E734" s="22"/>
      <c r="F734" s="147"/>
      <c r="G734" s="148"/>
      <c r="H734" s="149"/>
      <c r="I734" s="150"/>
      <c r="J734" s="149"/>
      <c r="K734" s="149"/>
      <c r="L734" s="149"/>
      <c r="M734" s="149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 ht="15.75" customHeight="1">
      <c r="A735" s="10"/>
      <c r="B735" s="22"/>
      <c r="C735" s="22"/>
      <c r="D735" s="22"/>
      <c r="E735" s="22"/>
      <c r="F735" s="147"/>
      <c r="G735" s="148"/>
      <c r="H735" s="149"/>
      <c r="I735" s="150"/>
      <c r="J735" s="149"/>
      <c r="K735" s="149"/>
      <c r="L735" s="149"/>
      <c r="M735" s="149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 ht="15.75" customHeight="1">
      <c r="A736" s="10"/>
      <c r="B736" s="22"/>
      <c r="C736" s="22"/>
      <c r="D736" s="22"/>
      <c r="E736" s="22"/>
      <c r="F736" s="147"/>
      <c r="G736" s="148"/>
      <c r="H736" s="149"/>
      <c r="I736" s="150"/>
      <c r="J736" s="149"/>
      <c r="K736" s="149"/>
      <c r="L736" s="149"/>
      <c r="M736" s="149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 ht="15.75" customHeight="1">
      <c r="A737" s="10"/>
      <c r="B737" s="22"/>
      <c r="C737" s="22"/>
      <c r="D737" s="22"/>
      <c r="E737" s="22"/>
      <c r="F737" s="147"/>
      <c r="G737" s="148"/>
      <c r="H737" s="149"/>
      <c r="I737" s="150"/>
      <c r="J737" s="149"/>
      <c r="K737" s="149"/>
      <c r="L737" s="149"/>
      <c r="M737" s="149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 ht="15.75" customHeight="1">
      <c r="A738" s="10"/>
      <c r="B738" s="22"/>
      <c r="C738" s="22"/>
      <c r="D738" s="22"/>
      <c r="E738" s="22"/>
      <c r="F738" s="147"/>
      <c r="G738" s="148"/>
      <c r="H738" s="149"/>
      <c r="I738" s="150"/>
      <c r="J738" s="149"/>
      <c r="K738" s="149"/>
      <c r="L738" s="149"/>
      <c r="M738" s="149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 ht="15.75" customHeight="1">
      <c r="A739" s="10"/>
      <c r="B739" s="22"/>
      <c r="C739" s="22"/>
      <c r="D739" s="22"/>
      <c r="E739" s="22"/>
      <c r="F739" s="147"/>
      <c r="G739" s="148"/>
      <c r="H739" s="149"/>
      <c r="I739" s="150"/>
      <c r="J739" s="149"/>
      <c r="K739" s="149"/>
      <c r="L739" s="149"/>
      <c r="M739" s="149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 ht="15.75" customHeight="1">
      <c r="A740" s="10"/>
      <c r="B740" s="22"/>
      <c r="C740" s="22"/>
      <c r="D740" s="22"/>
      <c r="E740" s="22"/>
      <c r="F740" s="147"/>
      <c r="G740" s="148"/>
      <c r="H740" s="149"/>
      <c r="I740" s="150"/>
      <c r="J740" s="149"/>
      <c r="K740" s="149"/>
      <c r="L740" s="149"/>
      <c r="M740" s="149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 ht="15.75" customHeight="1">
      <c r="A741" s="10"/>
      <c r="B741" s="22"/>
      <c r="C741" s="22"/>
      <c r="D741" s="22"/>
      <c r="E741" s="22"/>
      <c r="F741" s="147"/>
      <c r="G741" s="148"/>
      <c r="H741" s="149"/>
      <c r="I741" s="150"/>
      <c r="J741" s="149"/>
      <c r="K741" s="149"/>
      <c r="L741" s="149"/>
      <c r="M741" s="149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 ht="15.75" customHeight="1">
      <c r="A742" s="10"/>
      <c r="B742" s="22"/>
      <c r="C742" s="22"/>
      <c r="D742" s="22"/>
      <c r="E742" s="22"/>
      <c r="F742" s="147"/>
      <c r="G742" s="148"/>
      <c r="H742" s="149"/>
      <c r="I742" s="150"/>
      <c r="J742" s="149"/>
      <c r="K742" s="149"/>
      <c r="L742" s="149"/>
      <c r="M742" s="149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 ht="15.75" customHeight="1">
      <c r="A743" s="10"/>
      <c r="B743" s="22"/>
      <c r="C743" s="22"/>
      <c r="D743" s="22"/>
      <c r="E743" s="22"/>
      <c r="F743" s="147"/>
      <c r="G743" s="148"/>
      <c r="H743" s="149"/>
      <c r="I743" s="150"/>
      <c r="J743" s="149"/>
      <c r="K743" s="149"/>
      <c r="L743" s="149"/>
      <c r="M743" s="149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 ht="15.75" customHeight="1">
      <c r="A744" s="10"/>
      <c r="B744" s="22"/>
      <c r="C744" s="22"/>
      <c r="D744" s="22"/>
      <c r="E744" s="22"/>
      <c r="F744" s="147"/>
      <c r="G744" s="148"/>
      <c r="H744" s="149"/>
      <c r="I744" s="150"/>
      <c r="J744" s="149"/>
      <c r="K744" s="149"/>
      <c r="L744" s="149"/>
      <c r="M744" s="149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 ht="15.75" customHeight="1">
      <c r="A745" s="10"/>
      <c r="B745" s="22"/>
      <c r="C745" s="22"/>
      <c r="D745" s="22"/>
      <c r="E745" s="22"/>
      <c r="F745" s="147"/>
      <c r="G745" s="148"/>
      <c r="H745" s="149"/>
      <c r="I745" s="150"/>
      <c r="J745" s="149"/>
      <c r="K745" s="149"/>
      <c r="L745" s="149"/>
      <c r="M745" s="149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 ht="15.75" customHeight="1">
      <c r="A746" s="10"/>
      <c r="B746" s="22"/>
      <c r="C746" s="22"/>
      <c r="D746" s="22"/>
      <c r="E746" s="22"/>
      <c r="F746" s="147"/>
      <c r="G746" s="148"/>
      <c r="H746" s="149"/>
      <c r="I746" s="150"/>
      <c r="J746" s="149"/>
      <c r="K746" s="149"/>
      <c r="L746" s="149"/>
      <c r="M746" s="149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 ht="15.75" customHeight="1">
      <c r="A747" s="10"/>
      <c r="B747" s="22"/>
      <c r="C747" s="22"/>
      <c r="D747" s="22"/>
      <c r="E747" s="22"/>
      <c r="F747" s="147"/>
      <c r="G747" s="148"/>
      <c r="H747" s="149"/>
      <c r="I747" s="150"/>
      <c r="J747" s="149"/>
      <c r="K747" s="149"/>
      <c r="L747" s="149"/>
      <c r="M747" s="149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 ht="15.75" customHeight="1">
      <c r="A748" s="10"/>
      <c r="B748" s="22"/>
      <c r="C748" s="22"/>
      <c r="D748" s="22"/>
      <c r="E748" s="22"/>
      <c r="F748" s="147"/>
      <c r="G748" s="148"/>
      <c r="H748" s="149"/>
      <c r="I748" s="150"/>
      <c r="J748" s="149"/>
      <c r="K748" s="149"/>
      <c r="L748" s="149"/>
      <c r="M748" s="149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 ht="15.75" customHeight="1">
      <c r="A749" s="10"/>
      <c r="B749" s="22"/>
      <c r="C749" s="22"/>
      <c r="D749" s="22"/>
      <c r="E749" s="22"/>
      <c r="F749" s="147"/>
      <c r="G749" s="148"/>
      <c r="H749" s="149"/>
      <c r="I749" s="150"/>
      <c r="J749" s="149"/>
      <c r="K749" s="149"/>
      <c r="L749" s="149"/>
      <c r="M749" s="149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 ht="15.75" customHeight="1">
      <c r="A750" s="10"/>
      <c r="B750" s="22"/>
      <c r="C750" s="22"/>
      <c r="D750" s="22"/>
      <c r="E750" s="22"/>
      <c r="F750" s="147"/>
      <c r="G750" s="148"/>
      <c r="H750" s="149"/>
      <c r="I750" s="150"/>
      <c r="J750" s="149"/>
      <c r="K750" s="149"/>
      <c r="L750" s="149"/>
      <c r="M750" s="149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 ht="15.75" customHeight="1">
      <c r="A751" s="10"/>
      <c r="B751" s="22"/>
      <c r="C751" s="22"/>
      <c r="D751" s="22"/>
      <c r="E751" s="22"/>
      <c r="F751" s="147"/>
      <c r="G751" s="148"/>
      <c r="H751" s="149"/>
      <c r="I751" s="150"/>
      <c r="J751" s="149"/>
      <c r="K751" s="149"/>
      <c r="L751" s="149"/>
      <c r="M751" s="149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 ht="15.75" customHeight="1">
      <c r="A752" s="10"/>
      <c r="B752" s="22"/>
      <c r="C752" s="22"/>
      <c r="D752" s="22"/>
      <c r="E752" s="22"/>
      <c r="F752" s="147"/>
      <c r="G752" s="148"/>
      <c r="H752" s="149"/>
      <c r="I752" s="150"/>
      <c r="J752" s="149"/>
      <c r="K752" s="149"/>
      <c r="L752" s="149"/>
      <c r="M752" s="149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 ht="15.75" customHeight="1">
      <c r="A753" s="10"/>
      <c r="B753" s="22"/>
      <c r="C753" s="22"/>
      <c r="D753" s="22"/>
      <c r="E753" s="22"/>
      <c r="F753" s="147"/>
      <c r="G753" s="148"/>
      <c r="H753" s="149"/>
      <c r="I753" s="150"/>
      <c r="J753" s="149"/>
      <c r="K753" s="149"/>
      <c r="L753" s="149"/>
      <c r="M753" s="149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 ht="15.75" customHeight="1">
      <c r="A754" s="10"/>
      <c r="B754" s="22"/>
      <c r="C754" s="22"/>
      <c r="D754" s="22"/>
      <c r="E754" s="22"/>
      <c r="F754" s="147"/>
      <c r="G754" s="148"/>
      <c r="H754" s="149"/>
      <c r="I754" s="150"/>
      <c r="J754" s="149"/>
      <c r="K754" s="149"/>
      <c r="L754" s="149"/>
      <c r="M754" s="149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 ht="15.75" customHeight="1">
      <c r="A755" s="10"/>
      <c r="B755" s="22"/>
      <c r="C755" s="22"/>
      <c r="D755" s="22"/>
      <c r="E755" s="22"/>
      <c r="F755" s="147"/>
      <c r="G755" s="148"/>
      <c r="H755" s="149"/>
      <c r="I755" s="150"/>
      <c r="J755" s="149"/>
      <c r="K755" s="149"/>
      <c r="L755" s="149"/>
      <c r="M755" s="149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 ht="15.75" customHeight="1">
      <c r="A756" s="10"/>
      <c r="B756" s="22"/>
      <c r="C756" s="22"/>
      <c r="D756" s="22"/>
      <c r="E756" s="22"/>
      <c r="F756" s="147"/>
      <c r="G756" s="148"/>
      <c r="H756" s="149"/>
      <c r="I756" s="150"/>
      <c r="J756" s="149"/>
      <c r="K756" s="149"/>
      <c r="L756" s="149"/>
      <c r="M756" s="149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 ht="15.75" customHeight="1">
      <c r="A757" s="10"/>
      <c r="B757" s="22"/>
      <c r="C757" s="22"/>
      <c r="D757" s="22"/>
      <c r="E757" s="22"/>
      <c r="F757" s="147"/>
      <c r="G757" s="148"/>
      <c r="H757" s="149"/>
      <c r="I757" s="150"/>
      <c r="J757" s="149"/>
      <c r="K757" s="149"/>
      <c r="L757" s="149"/>
      <c r="M757" s="149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 ht="15.75" customHeight="1">
      <c r="A758" s="10"/>
      <c r="B758" s="22"/>
      <c r="C758" s="22"/>
      <c r="D758" s="22"/>
      <c r="E758" s="22"/>
      <c r="F758" s="147"/>
      <c r="G758" s="148"/>
      <c r="H758" s="149"/>
      <c r="I758" s="150"/>
      <c r="J758" s="149"/>
      <c r="K758" s="149"/>
      <c r="L758" s="149"/>
      <c r="M758" s="149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 ht="15.75" customHeight="1">
      <c r="A759" s="10"/>
      <c r="B759" s="22"/>
      <c r="C759" s="22"/>
      <c r="D759" s="22"/>
      <c r="E759" s="22"/>
      <c r="F759" s="147"/>
      <c r="G759" s="148"/>
      <c r="H759" s="149"/>
      <c r="I759" s="150"/>
      <c r="J759" s="149"/>
      <c r="K759" s="149"/>
      <c r="L759" s="149"/>
      <c r="M759" s="149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 ht="15.75" customHeight="1">
      <c r="A760" s="10"/>
      <c r="B760" s="22"/>
      <c r="C760" s="22"/>
      <c r="D760" s="22"/>
      <c r="E760" s="22"/>
      <c r="F760" s="147"/>
      <c r="G760" s="148"/>
      <c r="H760" s="149"/>
      <c r="I760" s="150"/>
      <c r="J760" s="149"/>
      <c r="K760" s="149"/>
      <c r="L760" s="149"/>
      <c r="M760" s="149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 ht="15.75" customHeight="1">
      <c r="A761" s="10"/>
      <c r="B761" s="22"/>
      <c r="C761" s="22"/>
      <c r="D761" s="22"/>
      <c r="E761" s="22"/>
      <c r="F761" s="147"/>
      <c r="G761" s="148"/>
      <c r="H761" s="149"/>
      <c r="I761" s="150"/>
      <c r="J761" s="149"/>
      <c r="K761" s="149"/>
      <c r="L761" s="149"/>
      <c r="M761" s="149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 ht="15.75" customHeight="1">
      <c r="A762" s="10"/>
      <c r="B762" s="22"/>
      <c r="C762" s="22"/>
      <c r="D762" s="22"/>
      <c r="E762" s="22"/>
      <c r="F762" s="147"/>
      <c r="G762" s="148"/>
      <c r="H762" s="149"/>
      <c r="I762" s="150"/>
      <c r="J762" s="149"/>
      <c r="K762" s="149"/>
      <c r="L762" s="149"/>
      <c r="M762" s="149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 ht="15.75" customHeight="1">
      <c r="A763" s="10"/>
      <c r="B763" s="22"/>
      <c r="C763" s="22"/>
      <c r="D763" s="22"/>
      <c r="E763" s="22"/>
      <c r="F763" s="147"/>
      <c r="G763" s="148"/>
      <c r="H763" s="149"/>
      <c r="I763" s="150"/>
      <c r="J763" s="149"/>
      <c r="K763" s="149"/>
      <c r="L763" s="149"/>
      <c r="M763" s="149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 ht="15.75" customHeight="1">
      <c r="A764" s="10"/>
      <c r="B764" s="22"/>
      <c r="C764" s="22"/>
      <c r="D764" s="22"/>
      <c r="E764" s="22"/>
      <c r="F764" s="147"/>
      <c r="G764" s="148"/>
      <c r="H764" s="149"/>
      <c r="I764" s="150"/>
      <c r="J764" s="149"/>
      <c r="K764" s="149"/>
      <c r="L764" s="149"/>
      <c r="M764" s="149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 ht="15.75" customHeight="1">
      <c r="A765" s="10"/>
      <c r="B765" s="22"/>
      <c r="C765" s="22"/>
      <c r="D765" s="22"/>
      <c r="E765" s="22"/>
      <c r="F765" s="147"/>
      <c r="G765" s="148"/>
      <c r="H765" s="149"/>
      <c r="I765" s="150"/>
      <c r="J765" s="149"/>
      <c r="K765" s="149"/>
      <c r="L765" s="149"/>
      <c r="M765" s="149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 ht="15.75" customHeight="1">
      <c r="A766" s="10"/>
      <c r="B766" s="22"/>
      <c r="C766" s="22"/>
      <c r="D766" s="22"/>
      <c r="E766" s="22"/>
      <c r="F766" s="147"/>
      <c r="G766" s="148"/>
      <c r="H766" s="149"/>
      <c r="I766" s="150"/>
      <c r="J766" s="149"/>
      <c r="K766" s="149"/>
      <c r="L766" s="149"/>
      <c r="M766" s="149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 ht="15.75" customHeight="1">
      <c r="A767" s="10"/>
      <c r="B767" s="22"/>
      <c r="C767" s="22"/>
      <c r="D767" s="22"/>
      <c r="E767" s="22"/>
      <c r="F767" s="147"/>
      <c r="G767" s="148"/>
      <c r="H767" s="149"/>
      <c r="I767" s="150"/>
      <c r="J767" s="149"/>
      <c r="K767" s="149"/>
      <c r="L767" s="149"/>
      <c r="M767" s="149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 ht="15.75" customHeight="1">
      <c r="A768" s="10"/>
      <c r="B768" s="22"/>
      <c r="C768" s="22"/>
      <c r="D768" s="22"/>
      <c r="E768" s="22"/>
      <c r="F768" s="147"/>
      <c r="G768" s="148"/>
      <c r="H768" s="149"/>
      <c r="I768" s="150"/>
      <c r="J768" s="149"/>
      <c r="K768" s="149"/>
      <c r="L768" s="149"/>
      <c r="M768" s="149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 ht="15.75" customHeight="1">
      <c r="A769" s="10"/>
      <c r="B769" s="22"/>
      <c r="C769" s="22"/>
      <c r="D769" s="22"/>
      <c r="E769" s="22"/>
      <c r="F769" s="147"/>
      <c r="G769" s="148"/>
      <c r="H769" s="149"/>
      <c r="I769" s="150"/>
      <c r="J769" s="149"/>
      <c r="K769" s="149"/>
      <c r="L769" s="149"/>
      <c r="M769" s="149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 ht="15.75" customHeight="1">
      <c r="A770" s="10"/>
      <c r="B770" s="22"/>
      <c r="C770" s="22"/>
      <c r="D770" s="22"/>
      <c r="E770" s="22"/>
      <c r="F770" s="147"/>
      <c r="G770" s="148"/>
      <c r="H770" s="149"/>
      <c r="I770" s="150"/>
      <c r="J770" s="149"/>
      <c r="K770" s="149"/>
      <c r="L770" s="149"/>
      <c r="M770" s="149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 ht="15.75" customHeight="1">
      <c r="A771" s="10"/>
      <c r="B771" s="22"/>
      <c r="C771" s="22"/>
      <c r="D771" s="22"/>
      <c r="E771" s="22"/>
      <c r="F771" s="147"/>
      <c r="G771" s="148"/>
      <c r="H771" s="149"/>
      <c r="I771" s="150"/>
      <c r="J771" s="149"/>
      <c r="K771" s="149"/>
      <c r="L771" s="149"/>
      <c r="M771" s="149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 ht="15.75" customHeight="1">
      <c r="A772" s="10"/>
      <c r="B772" s="22"/>
      <c r="C772" s="22"/>
      <c r="D772" s="22"/>
      <c r="E772" s="22"/>
      <c r="F772" s="147"/>
      <c r="G772" s="148"/>
      <c r="H772" s="149"/>
      <c r="I772" s="150"/>
      <c r="J772" s="149"/>
      <c r="K772" s="149"/>
      <c r="L772" s="149"/>
      <c r="M772" s="149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 ht="15.75" customHeight="1">
      <c r="A773" s="10"/>
      <c r="B773" s="22"/>
      <c r="C773" s="22"/>
      <c r="D773" s="22"/>
      <c r="E773" s="22"/>
      <c r="F773" s="147"/>
      <c r="G773" s="148"/>
      <c r="H773" s="149"/>
      <c r="I773" s="150"/>
      <c r="J773" s="149"/>
      <c r="K773" s="149"/>
      <c r="L773" s="149"/>
      <c r="M773" s="149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 ht="15.75" customHeight="1">
      <c r="A774" s="10"/>
      <c r="B774" s="22"/>
      <c r="C774" s="22"/>
      <c r="D774" s="22"/>
      <c r="E774" s="22"/>
      <c r="F774" s="147"/>
      <c r="G774" s="148"/>
      <c r="H774" s="149"/>
      <c r="I774" s="150"/>
      <c r="J774" s="149"/>
      <c r="K774" s="149"/>
      <c r="L774" s="149"/>
      <c r="M774" s="149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 ht="15.75" customHeight="1">
      <c r="A775" s="10"/>
      <c r="B775" s="22"/>
      <c r="C775" s="22"/>
      <c r="D775" s="22"/>
      <c r="E775" s="22"/>
      <c r="F775" s="147"/>
      <c r="G775" s="148"/>
      <c r="H775" s="149"/>
      <c r="I775" s="150"/>
      <c r="J775" s="149"/>
      <c r="K775" s="149"/>
      <c r="L775" s="149"/>
      <c r="M775" s="149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 ht="15.75" customHeight="1">
      <c r="A776" s="10"/>
      <c r="B776" s="22"/>
      <c r="C776" s="22"/>
      <c r="D776" s="22"/>
      <c r="E776" s="22"/>
      <c r="F776" s="147"/>
      <c r="G776" s="148"/>
      <c r="H776" s="149"/>
      <c r="I776" s="150"/>
      <c r="J776" s="149"/>
      <c r="K776" s="149"/>
      <c r="L776" s="149"/>
      <c r="M776" s="149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 ht="15.75" customHeight="1">
      <c r="A777" s="10"/>
      <c r="B777" s="22"/>
      <c r="C777" s="22"/>
      <c r="D777" s="22"/>
      <c r="E777" s="22"/>
      <c r="F777" s="147"/>
      <c r="G777" s="148"/>
      <c r="H777" s="149"/>
      <c r="I777" s="150"/>
      <c r="J777" s="149"/>
      <c r="K777" s="149"/>
      <c r="L777" s="149"/>
      <c r="M777" s="149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 ht="15.75" customHeight="1">
      <c r="A778" s="10"/>
      <c r="B778" s="22"/>
      <c r="C778" s="22"/>
      <c r="D778" s="22"/>
      <c r="E778" s="22"/>
      <c r="F778" s="147"/>
      <c r="G778" s="148"/>
      <c r="H778" s="149"/>
      <c r="I778" s="150"/>
      <c r="J778" s="149"/>
      <c r="K778" s="149"/>
      <c r="L778" s="149"/>
      <c r="M778" s="149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 ht="15.75" customHeight="1">
      <c r="A779" s="10"/>
      <c r="B779" s="22"/>
      <c r="C779" s="22"/>
      <c r="D779" s="22"/>
      <c r="E779" s="22"/>
      <c r="F779" s="147"/>
      <c r="G779" s="148"/>
      <c r="H779" s="149"/>
      <c r="I779" s="150"/>
      <c r="J779" s="149"/>
      <c r="K779" s="149"/>
      <c r="L779" s="149"/>
      <c r="M779" s="149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 ht="15.75" customHeight="1">
      <c r="A780" s="10"/>
      <c r="B780" s="22"/>
      <c r="C780" s="22"/>
      <c r="D780" s="22"/>
      <c r="E780" s="22"/>
      <c r="F780" s="147"/>
      <c r="G780" s="148"/>
      <c r="H780" s="149"/>
      <c r="I780" s="150"/>
      <c r="J780" s="149"/>
      <c r="K780" s="149"/>
      <c r="L780" s="149"/>
      <c r="M780" s="149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 ht="15.75" customHeight="1">
      <c r="A781" s="10"/>
      <c r="B781" s="22"/>
      <c r="C781" s="22"/>
      <c r="D781" s="22"/>
      <c r="E781" s="22"/>
      <c r="F781" s="147"/>
      <c r="G781" s="148"/>
      <c r="H781" s="149"/>
      <c r="I781" s="150"/>
      <c r="J781" s="149"/>
      <c r="K781" s="149"/>
      <c r="L781" s="149"/>
      <c r="M781" s="149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 ht="15.75" customHeight="1">
      <c r="A782" s="10"/>
      <c r="B782" s="22"/>
      <c r="C782" s="22"/>
      <c r="D782" s="22"/>
      <c r="E782" s="22"/>
      <c r="F782" s="147"/>
      <c r="G782" s="148"/>
      <c r="H782" s="149"/>
      <c r="I782" s="150"/>
      <c r="J782" s="149"/>
      <c r="K782" s="149"/>
      <c r="L782" s="149"/>
      <c r="M782" s="149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 ht="15.75" customHeight="1">
      <c r="A783" s="10"/>
      <c r="B783" s="22"/>
      <c r="C783" s="22"/>
      <c r="D783" s="22"/>
      <c r="E783" s="22"/>
      <c r="F783" s="147"/>
      <c r="G783" s="148"/>
      <c r="H783" s="149"/>
      <c r="I783" s="150"/>
      <c r="J783" s="149"/>
      <c r="K783" s="149"/>
      <c r="L783" s="149"/>
      <c r="M783" s="149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 ht="15.75" customHeight="1">
      <c r="A784" s="10"/>
      <c r="B784" s="22"/>
      <c r="C784" s="22"/>
      <c r="D784" s="22"/>
      <c r="E784" s="22"/>
      <c r="F784" s="147"/>
      <c r="G784" s="148"/>
      <c r="H784" s="149"/>
      <c r="I784" s="150"/>
      <c r="J784" s="149"/>
      <c r="K784" s="149"/>
      <c r="L784" s="149"/>
      <c r="M784" s="149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 ht="15.75" customHeight="1">
      <c r="A785" s="10"/>
      <c r="B785" s="22"/>
      <c r="C785" s="22"/>
      <c r="D785" s="22"/>
      <c r="E785" s="22"/>
      <c r="F785" s="147"/>
      <c r="G785" s="148"/>
      <c r="H785" s="149"/>
      <c r="I785" s="150"/>
      <c r="J785" s="149"/>
      <c r="K785" s="149"/>
      <c r="L785" s="149"/>
      <c r="M785" s="149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 ht="15.75" customHeight="1">
      <c r="A786" s="10"/>
      <c r="B786" s="22"/>
      <c r="C786" s="22"/>
      <c r="D786" s="22"/>
      <c r="E786" s="22"/>
      <c r="F786" s="147"/>
      <c r="G786" s="148"/>
      <c r="H786" s="149"/>
      <c r="I786" s="150"/>
      <c r="J786" s="149"/>
      <c r="K786" s="149"/>
      <c r="L786" s="149"/>
      <c r="M786" s="149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 ht="15.75" customHeight="1">
      <c r="A787" s="10"/>
      <c r="B787" s="22"/>
      <c r="C787" s="22"/>
      <c r="D787" s="22"/>
      <c r="E787" s="22"/>
      <c r="F787" s="147"/>
      <c r="G787" s="148"/>
      <c r="H787" s="149"/>
      <c r="I787" s="150"/>
      <c r="J787" s="149"/>
      <c r="K787" s="149"/>
      <c r="L787" s="149"/>
      <c r="M787" s="149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 ht="15.75" customHeight="1">
      <c r="A788" s="10"/>
      <c r="B788" s="22"/>
      <c r="C788" s="22"/>
      <c r="D788" s="22"/>
      <c r="E788" s="22"/>
      <c r="F788" s="147"/>
      <c r="G788" s="148"/>
      <c r="H788" s="149"/>
      <c r="I788" s="150"/>
      <c r="J788" s="149"/>
      <c r="K788" s="149"/>
      <c r="L788" s="149"/>
      <c r="M788" s="149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 ht="15.75" customHeight="1">
      <c r="A789" s="10"/>
      <c r="B789" s="22"/>
      <c r="C789" s="22"/>
      <c r="D789" s="22"/>
      <c r="E789" s="22"/>
      <c r="F789" s="147"/>
      <c r="G789" s="148"/>
      <c r="H789" s="149"/>
      <c r="I789" s="150"/>
      <c r="J789" s="149"/>
      <c r="K789" s="149"/>
      <c r="L789" s="149"/>
      <c r="M789" s="149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 ht="15.75" customHeight="1">
      <c r="A790" s="10"/>
      <c r="B790" s="22"/>
      <c r="C790" s="22"/>
      <c r="D790" s="22"/>
      <c r="E790" s="22"/>
      <c r="F790" s="147"/>
      <c r="G790" s="148"/>
      <c r="H790" s="149"/>
      <c r="I790" s="150"/>
      <c r="J790" s="149"/>
      <c r="K790" s="149"/>
      <c r="L790" s="149"/>
      <c r="M790" s="149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 ht="15.75" customHeight="1">
      <c r="A791" s="10"/>
      <c r="B791" s="22"/>
      <c r="C791" s="22"/>
      <c r="D791" s="22"/>
      <c r="E791" s="22"/>
      <c r="F791" s="147"/>
      <c r="G791" s="148"/>
      <c r="H791" s="149"/>
      <c r="I791" s="150"/>
      <c r="J791" s="149"/>
      <c r="K791" s="149"/>
      <c r="L791" s="149"/>
      <c r="M791" s="149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 ht="15.75" customHeight="1">
      <c r="A792" s="10"/>
      <c r="B792" s="22"/>
      <c r="C792" s="22"/>
      <c r="D792" s="22"/>
      <c r="E792" s="22"/>
      <c r="F792" s="147"/>
      <c r="G792" s="148"/>
      <c r="H792" s="149"/>
      <c r="I792" s="150"/>
      <c r="J792" s="149"/>
      <c r="K792" s="149"/>
      <c r="L792" s="149"/>
      <c r="M792" s="149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 ht="15.75" customHeight="1">
      <c r="A793" s="10"/>
      <c r="B793" s="22"/>
      <c r="C793" s="22"/>
      <c r="D793" s="22"/>
      <c r="E793" s="22"/>
      <c r="F793" s="147"/>
      <c r="G793" s="148"/>
      <c r="H793" s="149"/>
      <c r="I793" s="150"/>
      <c r="J793" s="149"/>
      <c r="K793" s="149"/>
      <c r="L793" s="149"/>
      <c r="M793" s="149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 ht="15.75" customHeight="1">
      <c r="A794" s="10"/>
      <c r="B794" s="22"/>
      <c r="C794" s="22"/>
      <c r="D794" s="22"/>
      <c r="E794" s="22"/>
      <c r="F794" s="147"/>
      <c r="G794" s="148"/>
      <c r="H794" s="149"/>
      <c r="I794" s="150"/>
      <c r="J794" s="149"/>
      <c r="K794" s="149"/>
      <c r="L794" s="149"/>
      <c r="M794" s="149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 ht="15.75" customHeight="1">
      <c r="A795" s="10"/>
      <c r="B795" s="22"/>
      <c r="C795" s="22"/>
      <c r="D795" s="22"/>
      <c r="E795" s="22"/>
      <c r="F795" s="147"/>
      <c r="G795" s="148"/>
      <c r="H795" s="149"/>
      <c r="I795" s="150"/>
      <c r="J795" s="149"/>
      <c r="K795" s="149"/>
      <c r="L795" s="149"/>
      <c r="M795" s="149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 ht="15.75" customHeight="1">
      <c r="A796" s="10"/>
      <c r="B796" s="22"/>
      <c r="C796" s="22"/>
      <c r="D796" s="22"/>
      <c r="E796" s="22"/>
      <c r="F796" s="147"/>
      <c r="G796" s="148"/>
      <c r="H796" s="149"/>
      <c r="I796" s="150"/>
      <c r="J796" s="149"/>
      <c r="K796" s="149"/>
      <c r="L796" s="149"/>
      <c r="M796" s="149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 ht="15.75" customHeight="1">
      <c r="A797" s="10"/>
      <c r="B797" s="22"/>
      <c r="C797" s="22"/>
      <c r="D797" s="22"/>
      <c r="E797" s="22"/>
      <c r="F797" s="147"/>
      <c r="G797" s="148"/>
      <c r="H797" s="149"/>
      <c r="I797" s="150"/>
      <c r="J797" s="149"/>
      <c r="K797" s="149"/>
      <c r="L797" s="149"/>
      <c r="M797" s="149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 ht="15.75" customHeight="1">
      <c r="A798" s="10"/>
      <c r="B798" s="22"/>
      <c r="C798" s="22"/>
      <c r="D798" s="22"/>
      <c r="E798" s="22"/>
      <c r="F798" s="147"/>
      <c r="G798" s="148"/>
      <c r="H798" s="149"/>
      <c r="I798" s="150"/>
      <c r="J798" s="149"/>
      <c r="K798" s="149"/>
      <c r="L798" s="149"/>
      <c r="M798" s="149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 ht="15.75" customHeight="1">
      <c r="A799" s="10"/>
      <c r="B799" s="22"/>
      <c r="C799" s="22"/>
      <c r="D799" s="22"/>
      <c r="E799" s="22"/>
      <c r="F799" s="147"/>
      <c r="G799" s="148"/>
      <c r="H799" s="149"/>
      <c r="I799" s="150"/>
      <c r="J799" s="149"/>
      <c r="K799" s="149"/>
      <c r="L799" s="149"/>
      <c r="M799" s="149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 ht="15.75" customHeight="1">
      <c r="A800" s="10"/>
      <c r="B800" s="22"/>
      <c r="C800" s="22"/>
      <c r="D800" s="22"/>
      <c r="E800" s="22"/>
      <c r="F800" s="147"/>
      <c r="G800" s="148"/>
      <c r="H800" s="149"/>
      <c r="I800" s="150"/>
      <c r="J800" s="149"/>
      <c r="K800" s="149"/>
      <c r="L800" s="149"/>
      <c r="M800" s="149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 ht="15.75" customHeight="1">
      <c r="A801" s="10"/>
      <c r="B801" s="22"/>
      <c r="C801" s="22"/>
      <c r="D801" s="22"/>
      <c r="E801" s="22"/>
      <c r="F801" s="147"/>
      <c r="G801" s="148"/>
      <c r="H801" s="149"/>
      <c r="I801" s="150"/>
      <c r="J801" s="149"/>
      <c r="K801" s="149"/>
      <c r="L801" s="149"/>
      <c r="M801" s="149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 ht="15.75" customHeight="1">
      <c r="A802" s="10"/>
      <c r="B802" s="22"/>
      <c r="C802" s="22"/>
      <c r="D802" s="22"/>
      <c r="E802" s="22"/>
      <c r="F802" s="147"/>
      <c r="G802" s="148"/>
      <c r="H802" s="149"/>
      <c r="I802" s="150"/>
      <c r="J802" s="149"/>
      <c r="K802" s="149"/>
      <c r="L802" s="149"/>
      <c r="M802" s="149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 ht="15.75" customHeight="1">
      <c r="A803" s="10"/>
      <c r="B803" s="22"/>
      <c r="C803" s="22"/>
      <c r="D803" s="22"/>
      <c r="E803" s="22"/>
      <c r="F803" s="147"/>
      <c r="G803" s="148"/>
      <c r="H803" s="149"/>
      <c r="I803" s="150"/>
      <c r="J803" s="149"/>
      <c r="K803" s="149"/>
      <c r="L803" s="149"/>
      <c r="M803" s="149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 ht="15.75" customHeight="1">
      <c r="A804" s="10"/>
      <c r="B804" s="22"/>
      <c r="C804" s="22"/>
      <c r="D804" s="22"/>
      <c r="E804" s="22"/>
      <c r="F804" s="147"/>
      <c r="G804" s="148"/>
      <c r="H804" s="149"/>
      <c r="I804" s="150"/>
      <c r="J804" s="149"/>
      <c r="K804" s="149"/>
      <c r="L804" s="149"/>
      <c r="M804" s="149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 ht="15.75" customHeight="1">
      <c r="A805" s="10"/>
      <c r="B805" s="22"/>
      <c r="C805" s="22"/>
      <c r="D805" s="22"/>
      <c r="E805" s="22"/>
      <c r="F805" s="147"/>
      <c r="G805" s="148"/>
      <c r="H805" s="149"/>
      <c r="I805" s="150"/>
      <c r="J805" s="149"/>
      <c r="K805" s="149"/>
      <c r="L805" s="149"/>
      <c r="M805" s="149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 ht="15.75" customHeight="1">
      <c r="A806" s="10"/>
      <c r="B806" s="22"/>
      <c r="C806" s="22"/>
      <c r="D806" s="22"/>
      <c r="E806" s="22"/>
      <c r="F806" s="147"/>
      <c r="G806" s="148"/>
      <c r="H806" s="149"/>
      <c r="I806" s="150"/>
      <c r="J806" s="149"/>
      <c r="K806" s="149"/>
      <c r="L806" s="149"/>
      <c r="M806" s="149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 ht="15.75" customHeight="1">
      <c r="A807" s="10"/>
      <c r="B807" s="22"/>
      <c r="C807" s="22"/>
      <c r="D807" s="22"/>
      <c r="E807" s="22"/>
      <c r="F807" s="147"/>
      <c r="G807" s="148"/>
      <c r="H807" s="149"/>
      <c r="I807" s="150"/>
      <c r="J807" s="149"/>
      <c r="K807" s="149"/>
      <c r="L807" s="149"/>
      <c r="M807" s="149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 ht="15.75" customHeight="1">
      <c r="A808" s="10"/>
      <c r="B808" s="22"/>
      <c r="C808" s="22"/>
      <c r="D808" s="22"/>
      <c r="E808" s="22"/>
      <c r="F808" s="147"/>
      <c r="G808" s="148"/>
      <c r="H808" s="149"/>
      <c r="I808" s="150"/>
      <c r="J808" s="149"/>
      <c r="K808" s="149"/>
      <c r="L808" s="149"/>
      <c r="M808" s="149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 ht="15.75" customHeight="1">
      <c r="A809" s="10"/>
      <c r="B809" s="22"/>
      <c r="C809" s="22"/>
      <c r="D809" s="22"/>
      <c r="E809" s="22"/>
      <c r="F809" s="147"/>
      <c r="G809" s="148"/>
      <c r="H809" s="149"/>
      <c r="I809" s="150"/>
      <c r="J809" s="149"/>
      <c r="K809" s="149"/>
      <c r="L809" s="149"/>
      <c r="M809" s="149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 ht="15.75" customHeight="1">
      <c r="A810" s="10"/>
      <c r="B810" s="22"/>
      <c r="C810" s="22"/>
      <c r="D810" s="22"/>
      <c r="E810" s="22"/>
      <c r="F810" s="147"/>
      <c r="G810" s="148"/>
      <c r="H810" s="149"/>
      <c r="I810" s="150"/>
      <c r="J810" s="149"/>
      <c r="K810" s="149"/>
      <c r="L810" s="149"/>
      <c r="M810" s="149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 ht="15.75" customHeight="1">
      <c r="A811" s="10"/>
      <c r="B811" s="22"/>
      <c r="C811" s="22"/>
      <c r="D811" s="22"/>
      <c r="E811" s="22"/>
      <c r="F811" s="147"/>
      <c r="G811" s="148"/>
      <c r="H811" s="149"/>
      <c r="I811" s="150"/>
      <c r="J811" s="149"/>
      <c r="K811" s="149"/>
      <c r="L811" s="149"/>
      <c r="M811" s="149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 ht="15.75" customHeight="1">
      <c r="A812" s="10"/>
      <c r="B812" s="22"/>
      <c r="C812" s="22"/>
      <c r="D812" s="22"/>
      <c r="E812" s="22"/>
      <c r="F812" s="147"/>
      <c r="G812" s="148"/>
      <c r="H812" s="149"/>
      <c r="I812" s="150"/>
      <c r="J812" s="149"/>
      <c r="K812" s="149"/>
      <c r="L812" s="149"/>
      <c r="M812" s="149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 ht="15.75" customHeight="1">
      <c r="A813" s="10"/>
      <c r="B813" s="22"/>
      <c r="C813" s="22"/>
      <c r="D813" s="22"/>
      <c r="E813" s="22"/>
      <c r="F813" s="147"/>
      <c r="G813" s="148"/>
      <c r="H813" s="149"/>
      <c r="I813" s="150"/>
      <c r="J813" s="149"/>
      <c r="K813" s="149"/>
      <c r="L813" s="149"/>
      <c r="M813" s="149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 ht="15.75" customHeight="1">
      <c r="A814" s="10"/>
      <c r="B814" s="22"/>
      <c r="C814" s="22"/>
      <c r="D814" s="22"/>
      <c r="E814" s="22"/>
      <c r="F814" s="147"/>
      <c r="G814" s="148"/>
      <c r="H814" s="149"/>
      <c r="I814" s="150"/>
      <c r="J814" s="149"/>
      <c r="K814" s="149"/>
      <c r="L814" s="149"/>
      <c r="M814" s="149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 ht="15.75" customHeight="1">
      <c r="A815" s="10"/>
      <c r="B815" s="22"/>
      <c r="C815" s="22"/>
      <c r="D815" s="22"/>
      <c r="E815" s="22"/>
      <c r="F815" s="147"/>
      <c r="G815" s="148"/>
      <c r="H815" s="149"/>
      <c r="I815" s="150"/>
      <c r="J815" s="149"/>
      <c r="K815" s="149"/>
      <c r="L815" s="149"/>
      <c r="M815" s="149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 ht="15.75" customHeight="1">
      <c r="A816" s="10"/>
      <c r="B816" s="22"/>
      <c r="C816" s="22"/>
      <c r="D816" s="22"/>
      <c r="E816" s="22"/>
      <c r="F816" s="147"/>
      <c r="G816" s="148"/>
      <c r="H816" s="149"/>
      <c r="I816" s="150"/>
      <c r="J816" s="149"/>
      <c r="K816" s="149"/>
      <c r="L816" s="149"/>
      <c r="M816" s="149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 ht="15.75" customHeight="1">
      <c r="A817" s="10"/>
      <c r="B817" s="22"/>
      <c r="C817" s="22"/>
      <c r="D817" s="22"/>
      <c r="E817" s="22"/>
      <c r="F817" s="147"/>
      <c r="G817" s="148"/>
      <c r="H817" s="149"/>
      <c r="I817" s="150"/>
      <c r="J817" s="149"/>
      <c r="K817" s="149"/>
      <c r="L817" s="149"/>
      <c r="M817" s="149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 ht="15.75" customHeight="1">
      <c r="A818" s="10"/>
      <c r="B818" s="22"/>
      <c r="C818" s="22"/>
      <c r="D818" s="22"/>
      <c r="E818" s="22"/>
      <c r="F818" s="147"/>
      <c r="G818" s="148"/>
      <c r="H818" s="149"/>
      <c r="I818" s="150"/>
      <c r="J818" s="149"/>
      <c r="K818" s="149"/>
      <c r="L818" s="149"/>
      <c r="M818" s="149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 ht="15.75" customHeight="1">
      <c r="A819" s="10"/>
      <c r="B819" s="22"/>
      <c r="C819" s="22"/>
      <c r="D819" s="22"/>
      <c r="E819" s="22"/>
      <c r="F819" s="147"/>
      <c r="G819" s="148"/>
      <c r="H819" s="149"/>
      <c r="I819" s="150"/>
      <c r="J819" s="149"/>
      <c r="K819" s="149"/>
      <c r="L819" s="149"/>
      <c r="M819" s="149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 ht="15.75" customHeight="1">
      <c r="A820" s="10"/>
      <c r="B820" s="22"/>
      <c r="C820" s="22"/>
      <c r="D820" s="22"/>
      <c r="E820" s="22"/>
      <c r="F820" s="147"/>
      <c r="G820" s="148"/>
      <c r="H820" s="149"/>
      <c r="I820" s="150"/>
      <c r="J820" s="149"/>
      <c r="K820" s="149"/>
      <c r="L820" s="149"/>
      <c r="M820" s="149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 ht="15.75" customHeight="1">
      <c r="A821" s="10"/>
      <c r="B821" s="22"/>
      <c r="C821" s="22"/>
      <c r="D821" s="22"/>
      <c r="E821" s="22"/>
      <c r="F821" s="147"/>
      <c r="G821" s="148"/>
      <c r="H821" s="149"/>
      <c r="I821" s="150"/>
      <c r="J821" s="149"/>
      <c r="K821" s="149"/>
      <c r="L821" s="149"/>
      <c r="M821" s="149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 ht="15.75" customHeight="1">
      <c r="A822" s="10"/>
      <c r="B822" s="22"/>
      <c r="C822" s="22"/>
      <c r="D822" s="22"/>
      <c r="E822" s="22"/>
      <c r="F822" s="147"/>
      <c r="G822" s="148"/>
      <c r="H822" s="149"/>
      <c r="I822" s="150"/>
      <c r="J822" s="149"/>
      <c r="K822" s="149"/>
      <c r="L822" s="149"/>
      <c r="M822" s="149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 ht="15.75" customHeight="1">
      <c r="A823" s="10"/>
      <c r="B823" s="22"/>
      <c r="C823" s="22"/>
      <c r="D823" s="22"/>
      <c r="E823" s="22"/>
      <c r="F823" s="147"/>
      <c r="G823" s="148"/>
      <c r="H823" s="149"/>
      <c r="I823" s="150"/>
      <c r="J823" s="149"/>
      <c r="K823" s="149"/>
      <c r="L823" s="149"/>
      <c r="M823" s="149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 ht="15.75" customHeight="1">
      <c r="A824" s="10"/>
      <c r="B824" s="22"/>
      <c r="C824" s="22"/>
      <c r="D824" s="22"/>
      <c r="E824" s="22"/>
      <c r="F824" s="147"/>
      <c r="G824" s="148"/>
      <c r="H824" s="149"/>
      <c r="I824" s="150"/>
      <c r="J824" s="149"/>
      <c r="K824" s="149"/>
      <c r="L824" s="149"/>
      <c r="M824" s="149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 ht="15.75" customHeight="1">
      <c r="A825" s="10"/>
      <c r="B825" s="22"/>
      <c r="C825" s="22"/>
      <c r="D825" s="22"/>
      <c r="E825" s="22"/>
      <c r="F825" s="147"/>
      <c r="G825" s="148"/>
      <c r="H825" s="149"/>
      <c r="I825" s="150"/>
      <c r="J825" s="149"/>
      <c r="K825" s="149"/>
      <c r="L825" s="149"/>
      <c r="M825" s="149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 ht="15.75" customHeight="1">
      <c r="A826" s="10"/>
      <c r="B826" s="22"/>
      <c r="C826" s="22"/>
      <c r="D826" s="22"/>
      <c r="E826" s="22"/>
      <c r="F826" s="147"/>
      <c r="G826" s="148"/>
      <c r="H826" s="149"/>
      <c r="I826" s="150"/>
      <c r="J826" s="149"/>
      <c r="K826" s="149"/>
      <c r="L826" s="149"/>
      <c r="M826" s="149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 ht="15.75" customHeight="1">
      <c r="A827" s="10"/>
      <c r="B827" s="22"/>
      <c r="C827" s="22"/>
      <c r="D827" s="22"/>
      <c r="E827" s="22"/>
      <c r="F827" s="147"/>
      <c r="G827" s="148"/>
      <c r="H827" s="149"/>
      <c r="I827" s="150"/>
      <c r="J827" s="149"/>
      <c r="K827" s="149"/>
      <c r="L827" s="149"/>
      <c r="M827" s="149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 ht="15.75" customHeight="1">
      <c r="A828" s="10"/>
      <c r="B828" s="22"/>
      <c r="C828" s="22"/>
      <c r="D828" s="22"/>
      <c r="E828" s="22"/>
      <c r="F828" s="147"/>
      <c r="G828" s="148"/>
      <c r="H828" s="149"/>
      <c r="I828" s="150"/>
      <c r="J828" s="149"/>
      <c r="K828" s="149"/>
      <c r="L828" s="149"/>
      <c r="M828" s="149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 ht="15.75" customHeight="1">
      <c r="A829" s="10"/>
      <c r="B829" s="22"/>
      <c r="C829" s="22"/>
      <c r="D829" s="22"/>
      <c r="E829" s="22"/>
      <c r="F829" s="147"/>
      <c r="G829" s="148"/>
      <c r="H829" s="149"/>
      <c r="I829" s="150"/>
      <c r="J829" s="149"/>
      <c r="K829" s="149"/>
      <c r="L829" s="149"/>
      <c r="M829" s="149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 ht="15.75" customHeight="1">
      <c r="A830" s="10"/>
      <c r="B830" s="22"/>
      <c r="C830" s="22"/>
      <c r="D830" s="22"/>
      <c r="E830" s="22"/>
      <c r="F830" s="147"/>
      <c r="G830" s="148"/>
      <c r="H830" s="149"/>
      <c r="I830" s="150"/>
      <c r="J830" s="149"/>
      <c r="K830" s="149"/>
      <c r="L830" s="149"/>
      <c r="M830" s="149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 ht="15.75" customHeight="1">
      <c r="A831" s="10"/>
      <c r="B831" s="22"/>
      <c r="C831" s="22"/>
      <c r="D831" s="22"/>
      <c r="E831" s="22"/>
      <c r="F831" s="147"/>
      <c r="G831" s="148"/>
      <c r="H831" s="149"/>
      <c r="I831" s="150"/>
      <c r="J831" s="149"/>
      <c r="K831" s="149"/>
      <c r="L831" s="149"/>
      <c r="M831" s="149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 ht="15.75" customHeight="1">
      <c r="A832" s="10"/>
      <c r="B832" s="22"/>
      <c r="C832" s="22"/>
      <c r="D832" s="22"/>
      <c r="E832" s="22"/>
      <c r="F832" s="147"/>
      <c r="G832" s="148"/>
      <c r="H832" s="149"/>
      <c r="I832" s="150"/>
      <c r="J832" s="149"/>
      <c r="K832" s="149"/>
      <c r="L832" s="149"/>
      <c r="M832" s="149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 ht="15.75" customHeight="1">
      <c r="A833" s="10"/>
      <c r="B833" s="22"/>
      <c r="C833" s="22"/>
      <c r="D833" s="22"/>
      <c r="E833" s="22"/>
      <c r="F833" s="147"/>
      <c r="G833" s="148"/>
      <c r="H833" s="149"/>
      <c r="I833" s="150"/>
      <c r="J833" s="149"/>
      <c r="K833" s="149"/>
      <c r="L833" s="149"/>
      <c r="M833" s="149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 ht="15.75" customHeight="1">
      <c r="A834" s="10"/>
      <c r="B834" s="22"/>
      <c r="C834" s="22"/>
      <c r="D834" s="22"/>
      <c r="E834" s="22"/>
      <c r="F834" s="147"/>
      <c r="G834" s="148"/>
      <c r="H834" s="149"/>
      <c r="I834" s="150"/>
      <c r="J834" s="149"/>
      <c r="K834" s="149"/>
      <c r="L834" s="149"/>
      <c r="M834" s="149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 ht="15.75" customHeight="1">
      <c r="A835" s="10"/>
      <c r="B835" s="22"/>
      <c r="C835" s="22"/>
      <c r="D835" s="22"/>
      <c r="E835" s="22"/>
      <c r="F835" s="147"/>
      <c r="G835" s="148"/>
      <c r="H835" s="149"/>
      <c r="I835" s="150"/>
      <c r="J835" s="149"/>
      <c r="K835" s="149"/>
      <c r="L835" s="149"/>
      <c r="M835" s="149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 ht="15.75" customHeight="1">
      <c r="A836" s="10"/>
      <c r="B836" s="22"/>
      <c r="C836" s="22"/>
      <c r="D836" s="22"/>
      <c r="E836" s="22"/>
      <c r="F836" s="147"/>
      <c r="G836" s="148"/>
      <c r="H836" s="149"/>
      <c r="I836" s="150"/>
      <c r="J836" s="149"/>
      <c r="K836" s="149"/>
      <c r="L836" s="149"/>
      <c r="M836" s="149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 ht="15.75" customHeight="1">
      <c r="A837" s="10"/>
      <c r="B837" s="22"/>
      <c r="C837" s="22"/>
      <c r="D837" s="22"/>
      <c r="E837" s="22"/>
      <c r="F837" s="147"/>
      <c r="G837" s="148"/>
      <c r="H837" s="149"/>
      <c r="I837" s="150"/>
      <c r="J837" s="149"/>
      <c r="K837" s="149"/>
      <c r="L837" s="149"/>
      <c r="M837" s="149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 ht="15.75" customHeight="1">
      <c r="A838" s="10"/>
      <c r="B838" s="22"/>
      <c r="C838" s="22"/>
      <c r="D838" s="22"/>
      <c r="E838" s="22"/>
      <c r="F838" s="147"/>
      <c r="G838" s="148"/>
      <c r="H838" s="149"/>
      <c r="I838" s="150"/>
      <c r="J838" s="149"/>
      <c r="K838" s="149"/>
      <c r="L838" s="149"/>
      <c r="M838" s="149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 ht="15.75" customHeight="1">
      <c r="A839" s="10"/>
      <c r="B839" s="22"/>
      <c r="C839" s="22"/>
      <c r="D839" s="22"/>
      <c r="E839" s="22"/>
      <c r="F839" s="147"/>
      <c r="G839" s="148"/>
      <c r="H839" s="149"/>
      <c r="I839" s="150"/>
      <c r="J839" s="149"/>
      <c r="K839" s="149"/>
      <c r="L839" s="149"/>
      <c r="M839" s="149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 ht="15.75" customHeight="1">
      <c r="A840" s="10"/>
      <c r="B840" s="22"/>
      <c r="C840" s="22"/>
      <c r="D840" s="22"/>
      <c r="E840" s="22"/>
      <c r="F840" s="147"/>
      <c r="G840" s="148"/>
      <c r="H840" s="149"/>
      <c r="I840" s="150"/>
      <c r="J840" s="149"/>
      <c r="K840" s="149"/>
      <c r="L840" s="149"/>
      <c r="M840" s="149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 ht="15.75" customHeight="1">
      <c r="A841" s="10"/>
      <c r="B841" s="22"/>
      <c r="C841" s="22"/>
      <c r="D841" s="22"/>
      <c r="E841" s="22"/>
      <c r="F841" s="147"/>
      <c r="G841" s="148"/>
      <c r="H841" s="149"/>
      <c r="I841" s="150"/>
      <c r="J841" s="149"/>
      <c r="K841" s="149"/>
      <c r="L841" s="149"/>
      <c r="M841" s="149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 ht="15.75" customHeight="1">
      <c r="A842" s="10"/>
      <c r="B842" s="22"/>
      <c r="C842" s="22"/>
      <c r="D842" s="22"/>
      <c r="E842" s="22"/>
      <c r="F842" s="147"/>
      <c r="G842" s="148"/>
      <c r="H842" s="149"/>
      <c r="I842" s="150"/>
      <c r="J842" s="149"/>
      <c r="K842" s="149"/>
      <c r="L842" s="149"/>
      <c r="M842" s="149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 ht="15.75" customHeight="1">
      <c r="A843" s="10"/>
      <c r="B843" s="22"/>
      <c r="C843" s="22"/>
      <c r="D843" s="22"/>
      <c r="E843" s="22"/>
      <c r="F843" s="147"/>
      <c r="G843" s="148"/>
      <c r="H843" s="149"/>
      <c r="I843" s="150"/>
      <c r="J843" s="149"/>
      <c r="K843" s="149"/>
      <c r="L843" s="149"/>
      <c r="M843" s="149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 ht="15.75" customHeight="1">
      <c r="A844" s="10"/>
      <c r="B844" s="22"/>
      <c r="C844" s="22"/>
      <c r="D844" s="22"/>
      <c r="E844" s="22"/>
      <c r="F844" s="147"/>
      <c r="G844" s="148"/>
      <c r="H844" s="149"/>
      <c r="I844" s="150"/>
      <c r="J844" s="149"/>
      <c r="K844" s="149"/>
      <c r="L844" s="149"/>
      <c r="M844" s="149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 ht="15.75" customHeight="1">
      <c r="A845" s="10"/>
      <c r="B845" s="22"/>
      <c r="C845" s="22"/>
      <c r="D845" s="22"/>
      <c r="E845" s="22"/>
      <c r="F845" s="147"/>
      <c r="G845" s="148"/>
      <c r="H845" s="149"/>
      <c r="I845" s="150"/>
      <c r="J845" s="149"/>
      <c r="K845" s="149"/>
      <c r="L845" s="149"/>
      <c r="M845" s="149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 ht="15.75" customHeight="1">
      <c r="A846" s="10"/>
      <c r="B846" s="22"/>
      <c r="C846" s="22"/>
      <c r="D846" s="22"/>
      <c r="E846" s="22"/>
      <c r="F846" s="147"/>
      <c r="G846" s="148"/>
      <c r="H846" s="149"/>
      <c r="I846" s="150"/>
      <c r="J846" s="149"/>
      <c r="K846" s="149"/>
      <c r="L846" s="149"/>
      <c r="M846" s="149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 ht="15.75" customHeight="1">
      <c r="A847" s="10"/>
      <c r="B847" s="22"/>
      <c r="C847" s="22"/>
      <c r="D847" s="22"/>
      <c r="E847" s="22"/>
      <c r="F847" s="147"/>
      <c r="G847" s="148"/>
      <c r="H847" s="149"/>
      <c r="I847" s="150"/>
      <c r="J847" s="149"/>
      <c r="K847" s="149"/>
      <c r="L847" s="149"/>
      <c r="M847" s="149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 ht="15.75" customHeight="1">
      <c r="A848" s="10"/>
      <c r="B848" s="22"/>
      <c r="C848" s="22"/>
      <c r="D848" s="22"/>
      <c r="E848" s="22"/>
      <c r="F848" s="147"/>
      <c r="G848" s="148"/>
      <c r="H848" s="149"/>
      <c r="I848" s="150"/>
      <c r="J848" s="149"/>
      <c r="K848" s="149"/>
      <c r="L848" s="149"/>
      <c r="M848" s="149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 ht="15.75" customHeight="1">
      <c r="A849" s="10"/>
      <c r="B849" s="22"/>
      <c r="C849" s="22"/>
      <c r="D849" s="22"/>
      <c r="E849" s="22"/>
      <c r="F849" s="147"/>
      <c r="G849" s="148"/>
      <c r="H849" s="149"/>
      <c r="I849" s="150"/>
      <c r="J849" s="149"/>
      <c r="K849" s="149"/>
      <c r="L849" s="149"/>
      <c r="M849" s="149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 ht="15.75" customHeight="1">
      <c r="A850" s="10"/>
      <c r="B850" s="22"/>
      <c r="C850" s="22"/>
      <c r="D850" s="22"/>
      <c r="E850" s="22"/>
      <c r="F850" s="147"/>
      <c r="G850" s="148"/>
      <c r="H850" s="149"/>
      <c r="I850" s="150"/>
      <c r="J850" s="149"/>
      <c r="K850" s="149"/>
      <c r="L850" s="149"/>
      <c r="M850" s="149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 ht="15.75" customHeight="1">
      <c r="A851" s="10"/>
      <c r="B851" s="22"/>
      <c r="C851" s="22"/>
      <c r="D851" s="22"/>
      <c r="E851" s="22"/>
      <c r="F851" s="147"/>
      <c r="G851" s="148"/>
      <c r="H851" s="149"/>
      <c r="I851" s="150"/>
      <c r="J851" s="149"/>
      <c r="K851" s="149"/>
      <c r="L851" s="149"/>
      <c r="M851" s="149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 ht="15.75" customHeight="1">
      <c r="A852" s="10"/>
      <c r="B852" s="22"/>
      <c r="C852" s="22"/>
      <c r="D852" s="22"/>
      <c r="E852" s="22"/>
      <c r="F852" s="147"/>
      <c r="G852" s="148"/>
      <c r="H852" s="149"/>
      <c r="I852" s="150"/>
      <c r="J852" s="149"/>
      <c r="K852" s="149"/>
      <c r="L852" s="149"/>
      <c r="M852" s="149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 ht="15.75" customHeight="1">
      <c r="A853" s="10"/>
      <c r="B853" s="22"/>
      <c r="C853" s="22"/>
      <c r="D853" s="22"/>
      <c r="E853" s="22"/>
      <c r="F853" s="147"/>
      <c r="G853" s="148"/>
      <c r="H853" s="149"/>
      <c r="I853" s="150"/>
      <c r="J853" s="149"/>
      <c r="K853" s="149"/>
      <c r="L853" s="149"/>
      <c r="M853" s="149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 ht="15.75" customHeight="1">
      <c r="A854" s="10"/>
      <c r="B854" s="22"/>
      <c r="C854" s="22"/>
      <c r="D854" s="22"/>
      <c r="E854" s="22"/>
      <c r="F854" s="147"/>
      <c r="G854" s="148"/>
      <c r="H854" s="149"/>
      <c r="I854" s="150"/>
      <c r="J854" s="149"/>
      <c r="K854" s="149"/>
      <c r="L854" s="149"/>
      <c r="M854" s="149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 ht="15.75" customHeight="1">
      <c r="A855" s="10"/>
      <c r="B855" s="22"/>
      <c r="C855" s="22"/>
      <c r="D855" s="22"/>
      <c r="E855" s="22"/>
      <c r="F855" s="147"/>
      <c r="G855" s="148"/>
      <c r="H855" s="149"/>
      <c r="I855" s="150"/>
      <c r="J855" s="149"/>
      <c r="K855" s="149"/>
      <c r="L855" s="149"/>
      <c r="M855" s="149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 ht="15.75" customHeight="1">
      <c r="A856" s="10"/>
      <c r="B856" s="22"/>
      <c r="C856" s="22"/>
      <c r="D856" s="22"/>
      <c r="E856" s="22"/>
      <c r="F856" s="147"/>
      <c r="G856" s="148"/>
      <c r="H856" s="149"/>
      <c r="I856" s="150"/>
      <c r="J856" s="149"/>
      <c r="K856" s="149"/>
      <c r="L856" s="149"/>
      <c r="M856" s="149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 ht="15.75" customHeight="1">
      <c r="A857" s="10"/>
      <c r="B857" s="22"/>
      <c r="C857" s="22"/>
      <c r="D857" s="22"/>
      <c r="E857" s="22"/>
      <c r="F857" s="147"/>
      <c r="G857" s="148"/>
      <c r="H857" s="149"/>
      <c r="I857" s="150"/>
      <c r="J857" s="149"/>
      <c r="K857" s="149"/>
      <c r="L857" s="149"/>
      <c r="M857" s="149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 ht="15.75" customHeight="1">
      <c r="A858" s="10"/>
      <c r="B858" s="22"/>
      <c r="C858" s="22"/>
      <c r="D858" s="22"/>
      <c r="E858" s="22"/>
      <c r="F858" s="147"/>
      <c r="G858" s="148"/>
      <c r="H858" s="149"/>
      <c r="I858" s="150"/>
      <c r="J858" s="149"/>
      <c r="K858" s="149"/>
      <c r="L858" s="149"/>
      <c r="M858" s="149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 ht="15.75" customHeight="1">
      <c r="A859" s="10"/>
      <c r="B859" s="22"/>
      <c r="C859" s="22"/>
      <c r="D859" s="22"/>
      <c r="E859" s="22"/>
      <c r="F859" s="147"/>
      <c r="G859" s="148"/>
      <c r="H859" s="149"/>
      <c r="I859" s="150"/>
      <c r="J859" s="149"/>
      <c r="K859" s="149"/>
      <c r="L859" s="149"/>
      <c r="M859" s="149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 ht="15.75" customHeight="1">
      <c r="A860" s="10"/>
      <c r="B860" s="22"/>
      <c r="C860" s="22"/>
      <c r="D860" s="22"/>
      <c r="E860" s="22"/>
      <c r="F860" s="147"/>
      <c r="G860" s="148"/>
      <c r="H860" s="149"/>
      <c r="I860" s="150"/>
      <c r="J860" s="149"/>
      <c r="K860" s="149"/>
      <c r="L860" s="149"/>
      <c r="M860" s="149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 ht="15.75" customHeight="1">
      <c r="A861" s="10"/>
      <c r="B861" s="22"/>
      <c r="C861" s="22"/>
      <c r="D861" s="22"/>
      <c r="E861" s="22"/>
      <c r="F861" s="147"/>
      <c r="G861" s="148"/>
      <c r="H861" s="149"/>
      <c r="I861" s="150"/>
      <c r="J861" s="149"/>
      <c r="K861" s="149"/>
      <c r="L861" s="149"/>
      <c r="M861" s="149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 ht="15.75" customHeight="1">
      <c r="A862" s="10"/>
      <c r="B862" s="22"/>
      <c r="C862" s="22"/>
      <c r="D862" s="22"/>
      <c r="E862" s="22"/>
      <c r="F862" s="147"/>
      <c r="G862" s="148"/>
      <c r="H862" s="149"/>
      <c r="I862" s="150"/>
      <c r="J862" s="149"/>
      <c r="K862" s="149"/>
      <c r="L862" s="149"/>
      <c r="M862" s="149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 ht="15.75" customHeight="1">
      <c r="A863" s="10"/>
      <c r="B863" s="22"/>
      <c r="C863" s="22"/>
      <c r="D863" s="22"/>
      <c r="E863" s="22"/>
      <c r="F863" s="147"/>
      <c r="G863" s="148"/>
      <c r="H863" s="149"/>
      <c r="I863" s="150"/>
      <c r="J863" s="149"/>
      <c r="K863" s="149"/>
      <c r="L863" s="149"/>
      <c r="M863" s="149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 ht="15.75" customHeight="1">
      <c r="A864" s="10"/>
      <c r="B864" s="22"/>
      <c r="C864" s="22"/>
      <c r="D864" s="22"/>
      <c r="E864" s="22"/>
      <c r="F864" s="147"/>
      <c r="G864" s="148"/>
      <c r="H864" s="149"/>
      <c r="I864" s="150"/>
      <c r="J864" s="149"/>
      <c r="K864" s="149"/>
      <c r="L864" s="149"/>
      <c r="M864" s="149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 ht="15.75" customHeight="1">
      <c r="A865" s="10"/>
      <c r="B865" s="22"/>
      <c r="C865" s="22"/>
      <c r="D865" s="22"/>
      <c r="E865" s="22"/>
      <c r="F865" s="147"/>
      <c r="G865" s="148"/>
      <c r="H865" s="149"/>
      <c r="I865" s="150"/>
      <c r="J865" s="149"/>
      <c r="K865" s="149"/>
      <c r="L865" s="149"/>
      <c r="M865" s="149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 ht="15.75" customHeight="1">
      <c r="A866" s="10"/>
      <c r="B866" s="22"/>
      <c r="C866" s="22"/>
      <c r="D866" s="22"/>
      <c r="E866" s="22"/>
      <c r="F866" s="147"/>
      <c r="G866" s="148"/>
      <c r="H866" s="149"/>
      <c r="I866" s="150"/>
      <c r="J866" s="149"/>
      <c r="K866" s="149"/>
      <c r="L866" s="149"/>
      <c r="M866" s="149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 ht="15.75" customHeight="1">
      <c r="A867" s="10"/>
      <c r="B867" s="22"/>
      <c r="C867" s="22"/>
      <c r="D867" s="22"/>
      <c r="E867" s="22"/>
      <c r="F867" s="147"/>
      <c r="G867" s="148"/>
      <c r="H867" s="149"/>
      <c r="I867" s="150"/>
      <c r="J867" s="149"/>
      <c r="K867" s="149"/>
      <c r="L867" s="149"/>
      <c r="M867" s="149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 ht="15.75" customHeight="1">
      <c r="A868" s="10"/>
      <c r="B868" s="22"/>
      <c r="C868" s="22"/>
      <c r="D868" s="22"/>
      <c r="E868" s="22"/>
      <c r="F868" s="147"/>
      <c r="G868" s="148"/>
      <c r="H868" s="149"/>
      <c r="I868" s="150"/>
      <c r="J868" s="149"/>
      <c r="K868" s="149"/>
      <c r="L868" s="149"/>
      <c r="M868" s="149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 ht="15.75" customHeight="1">
      <c r="A869" s="10"/>
      <c r="B869" s="22"/>
      <c r="C869" s="22"/>
      <c r="D869" s="22"/>
      <c r="E869" s="22"/>
      <c r="F869" s="147"/>
      <c r="G869" s="148"/>
      <c r="H869" s="149"/>
      <c r="I869" s="150"/>
      <c r="J869" s="149"/>
      <c r="K869" s="149"/>
      <c r="L869" s="149"/>
      <c r="M869" s="149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 ht="15.75" customHeight="1">
      <c r="A870" s="10"/>
      <c r="B870" s="22"/>
      <c r="C870" s="22"/>
      <c r="D870" s="22"/>
      <c r="E870" s="22"/>
      <c r="F870" s="147"/>
      <c r="G870" s="148"/>
      <c r="H870" s="149"/>
      <c r="I870" s="150"/>
      <c r="J870" s="149"/>
      <c r="K870" s="149"/>
      <c r="L870" s="149"/>
      <c r="M870" s="149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 ht="15.75" customHeight="1">
      <c r="A871" s="10"/>
      <c r="B871" s="22"/>
      <c r="C871" s="22"/>
      <c r="D871" s="22"/>
      <c r="E871" s="22"/>
      <c r="F871" s="147"/>
      <c r="G871" s="148"/>
      <c r="H871" s="149"/>
      <c r="I871" s="150"/>
      <c r="J871" s="149"/>
      <c r="K871" s="149"/>
      <c r="L871" s="149"/>
      <c r="M871" s="149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 ht="15.75" customHeight="1">
      <c r="A872" s="10"/>
      <c r="B872" s="22"/>
      <c r="C872" s="22"/>
      <c r="D872" s="22"/>
      <c r="E872" s="22"/>
      <c r="F872" s="147"/>
      <c r="G872" s="148"/>
      <c r="H872" s="149"/>
      <c r="I872" s="150"/>
      <c r="J872" s="149"/>
      <c r="K872" s="149"/>
      <c r="L872" s="149"/>
      <c r="M872" s="149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 ht="15.75" customHeight="1">
      <c r="A873" s="10"/>
      <c r="B873" s="22"/>
      <c r="C873" s="22"/>
      <c r="D873" s="22"/>
      <c r="E873" s="22"/>
      <c r="F873" s="147"/>
      <c r="G873" s="148"/>
      <c r="H873" s="149"/>
      <c r="I873" s="150"/>
      <c r="J873" s="149"/>
      <c r="K873" s="149"/>
      <c r="L873" s="149"/>
      <c r="M873" s="149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 ht="15.75" customHeight="1">
      <c r="A874" s="10"/>
      <c r="B874" s="22"/>
      <c r="C874" s="22"/>
      <c r="D874" s="22"/>
      <c r="E874" s="22"/>
      <c r="F874" s="147"/>
      <c r="G874" s="148"/>
      <c r="H874" s="149"/>
      <c r="I874" s="150"/>
      <c r="J874" s="149"/>
      <c r="K874" s="149"/>
      <c r="L874" s="149"/>
      <c r="M874" s="149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 ht="15.75" customHeight="1">
      <c r="A875" s="10"/>
      <c r="B875" s="22"/>
      <c r="C875" s="22"/>
      <c r="D875" s="22"/>
      <c r="E875" s="22"/>
      <c r="F875" s="147"/>
      <c r="G875" s="148"/>
      <c r="H875" s="149"/>
      <c r="I875" s="150"/>
      <c r="J875" s="149"/>
      <c r="K875" s="149"/>
      <c r="L875" s="149"/>
      <c r="M875" s="149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 ht="15.75" customHeight="1">
      <c r="A876" s="10"/>
      <c r="B876" s="22"/>
      <c r="C876" s="22"/>
      <c r="D876" s="22"/>
      <c r="E876" s="22"/>
      <c r="F876" s="147"/>
      <c r="G876" s="148"/>
      <c r="H876" s="149"/>
      <c r="I876" s="150"/>
      <c r="J876" s="149"/>
      <c r="K876" s="149"/>
      <c r="L876" s="149"/>
      <c r="M876" s="149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 ht="15.75" customHeight="1">
      <c r="A877" s="10"/>
      <c r="B877" s="22"/>
      <c r="C877" s="22"/>
      <c r="D877" s="22"/>
      <c r="E877" s="22"/>
      <c r="F877" s="147"/>
      <c r="G877" s="148"/>
      <c r="H877" s="149"/>
      <c r="I877" s="150"/>
      <c r="J877" s="149"/>
      <c r="K877" s="149"/>
      <c r="L877" s="149"/>
      <c r="M877" s="149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 ht="15.75" customHeight="1">
      <c r="A878" s="10"/>
      <c r="B878" s="22"/>
      <c r="C878" s="22"/>
      <c r="D878" s="22"/>
      <c r="E878" s="22"/>
      <c r="F878" s="147"/>
      <c r="G878" s="148"/>
      <c r="H878" s="149"/>
      <c r="I878" s="150"/>
      <c r="J878" s="149"/>
      <c r="K878" s="149"/>
      <c r="L878" s="149"/>
      <c r="M878" s="149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 ht="15.75" customHeight="1">
      <c r="A879" s="10"/>
      <c r="B879" s="22"/>
      <c r="C879" s="22"/>
      <c r="D879" s="22"/>
      <c r="E879" s="22"/>
      <c r="F879" s="147"/>
      <c r="G879" s="148"/>
      <c r="H879" s="149"/>
      <c r="I879" s="150"/>
      <c r="J879" s="149"/>
      <c r="K879" s="149"/>
      <c r="L879" s="149"/>
      <c r="M879" s="149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 ht="15.75" customHeight="1">
      <c r="A880" s="10"/>
      <c r="B880" s="22"/>
      <c r="C880" s="22"/>
      <c r="D880" s="22"/>
      <c r="E880" s="22"/>
      <c r="F880" s="147"/>
      <c r="G880" s="148"/>
      <c r="H880" s="149"/>
      <c r="I880" s="150"/>
      <c r="J880" s="149"/>
      <c r="K880" s="149"/>
      <c r="L880" s="149"/>
      <c r="M880" s="149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 ht="15.75" customHeight="1">
      <c r="A881" s="10"/>
      <c r="B881" s="22"/>
      <c r="C881" s="22"/>
      <c r="D881" s="22"/>
      <c r="E881" s="22"/>
      <c r="F881" s="147"/>
      <c r="G881" s="148"/>
      <c r="H881" s="149"/>
      <c r="I881" s="150"/>
      <c r="J881" s="149"/>
      <c r="K881" s="149"/>
      <c r="L881" s="149"/>
      <c r="M881" s="149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 ht="15.75" customHeight="1">
      <c r="A882" s="10"/>
      <c r="B882" s="22"/>
      <c r="C882" s="22"/>
      <c r="D882" s="22"/>
      <c r="E882" s="22"/>
      <c r="F882" s="147"/>
      <c r="G882" s="148"/>
      <c r="H882" s="149"/>
      <c r="I882" s="150"/>
      <c r="J882" s="149"/>
      <c r="K882" s="149"/>
      <c r="L882" s="149"/>
      <c r="M882" s="149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 ht="15.75" customHeight="1">
      <c r="A883" s="10"/>
      <c r="B883" s="22"/>
      <c r="C883" s="22"/>
      <c r="D883" s="22"/>
      <c r="E883" s="22"/>
      <c r="F883" s="147"/>
      <c r="G883" s="148"/>
      <c r="H883" s="149"/>
      <c r="I883" s="150"/>
      <c r="J883" s="149"/>
      <c r="K883" s="149"/>
      <c r="L883" s="149"/>
      <c r="M883" s="149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 ht="15.75" customHeight="1">
      <c r="A884" s="10"/>
      <c r="B884" s="22"/>
      <c r="C884" s="22"/>
      <c r="D884" s="22"/>
      <c r="E884" s="22"/>
      <c r="F884" s="147"/>
      <c r="G884" s="148"/>
      <c r="H884" s="149"/>
      <c r="I884" s="150"/>
      <c r="J884" s="149"/>
      <c r="K884" s="149"/>
      <c r="L884" s="149"/>
      <c r="M884" s="149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 ht="15.75" customHeight="1">
      <c r="A885" s="10"/>
      <c r="B885" s="22"/>
      <c r="C885" s="22"/>
      <c r="D885" s="22"/>
      <c r="E885" s="22"/>
      <c r="F885" s="147"/>
      <c r="G885" s="148"/>
      <c r="H885" s="149"/>
      <c r="I885" s="150"/>
      <c r="J885" s="149"/>
      <c r="K885" s="149"/>
      <c r="L885" s="149"/>
      <c r="M885" s="149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 ht="15.75" customHeight="1">
      <c r="A886" s="10"/>
      <c r="B886" s="22"/>
      <c r="C886" s="22"/>
      <c r="D886" s="22"/>
      <c r="E886" s="22"/>
      <c r="F886" s="147"/>
      <c r="G886" s="148"/>
      <c r="H886" s="149"/>
      <c r="I886" s="150"/>
      <c r="J886" s="149"/>
      <c r="K886" s="149"/>
      <c r="L886" s="149"/>
      <c r="M886" s="149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 ht="15.75" customHeight="1">
      <c r="A887" s="10"/>
      <c r="B887" s="22"/>
      <c r="C887" s="22"/>
      <c r="D887" s="22"/>
      <c r="E887" s="22"/>
      <c r="F887" s="147"/>
      <c r="G887" s="148"/>
      <c r="H887" s="149"/>
      <c r="I887" s="150"/>
      <c r="J887" s="149"/>
      <c r="K887" s="149"/>
      <c r="L887" s="149"/>
      <c r="M887" s="149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 ht="15.75" customHeight="1">
      <c r="A888" s="10"/>
      <c r="B888" s="22"/>
      <c r="C888" s="22"/>
      <c r="D888" s="22"/>
      <c r="E888" s="22"/>
      <c r="F888" s="147"/>
      <c r="G888" s="148"/>
      <c r="H888" s="149"/>
      <c r="I888" s="150"/>
      <c r="J888" s="149"/>
      <c r="K888" s="149"/>
      <c r="L888" s="149"/>
      <c r="M888" s="149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 ht="15.75" customHeight="1">
      <c r="A889" s="10"/>
      <c r="B889" s="22"/>
      <c r="C889" s="22"/>
      <c r="D889" s="22"/>
      <c r="E889" s="22"/>
      <c r="F889" s="147"/>
      <c r="G889" s="148"/>
      <c r="H889" s="149"/>
      <c r="I889" s="150"/>
      <c r="J889" s="149"/>
      <c r="K889" s="149"/>
      <c r="L889" s="149"/>
      <c r="M889" s="149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 ht="15.75" customHeight="1">
      <c r="A890" s="10"/>
      <c r="B890" s="22"/>
      <c r="C890" s="22"/>
      <c r="D890" s="22"/>
      <c r="E890" s="22"/>
      <c r="F890" s="147"/>
      <c r="G890" s="148"/>
      <c r="H890" s="149"/>
      <c r="I890" s="150"/>
      <c r="J890" s="149"/>
      <c r="K890" s="149"/>
      <c r="L890" s="149"/>
      <c r="M890" s="149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 ht="15.75" customHeight="1">
      <c r="A891" s="10"/>
      <c r="B891" s="22"/>
      <c r="C891" s="22"/>
      <c r="D891" s="22"/>
      <c r="E891" s="22"/>
      <c r="F891" s="147"/>
      <c r="G891" s="148"/>
      <c r="H891" s="149"/>
      <c r="I891" s="150"/>
      <c r="J891" s="149"/>
      <c r="K891" s="149"/>
      <c r="L891" s="149"/>
      <c r="M891" s="149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 ht="15.75" customHeight="1">
      <c r="A892" s="10"/>
      <c r="B892" s="22"/>
      <c r="C892" s="22"/>
      <c r="D892" s="22"/>
      <c r="E892" s="22"/>
      <c r="F892" s="147"/>
      <c r="G892" s="148"/>
      <c r="H892" s="149"/>
      <c r="I892" s="150"/>
      <c r="J892" s="149"/>
      <c r="K892" s="149"/>
      <c r="L892" s="149"/>
      <c r="M892" s="149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 ht="15.75" customHeight="1">
      <c r="A893" s="10"/>
      <c r="B893" s="22"/>
      <c r="C893" s="22"/>
      <c r="D893" s="22"/>
      <c r="E893" s="22"/>
      <c r="F893" s="147"/>
      <c r="G893" s="148"/>
      <c r="H893" s="149"/>
      <c r="I893" s="150"/>
      <c r="J893" s="149"/>
      <c r="K893" s="149"/>
      <c r="L893" s="149"/>
      <c r="M893" s="149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 ht="15.75" customHeight="1">
      <c r="A894" s="10"/>
      <c r="B894" s="22"/>
      <c r="C894" s="22"/>
      <c r="D894" s="22"/>
      <c r="E894" s="22"/>
      <c r="F894" s="147"/>
      <c r="G894" s="148"/>
      <c r="H894" s="149"/>
      <c r="I894" s="150"/>
      <c r="J894" s="149"/>
      <c r="K894" s="149"/>
      <c r="L894" s="149"/>
      <c r="M894" s="149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 ht="15.75" customHeight="1">
      <c r="A895" s="10"/>
      <c r="B895" s="22"/>
      <c r="C895" s="22"/>
      <c r="D895" s="22"/>
      <c r="E895" s="22"/>
      <c r="F895" s="147"/>
      <c r="G895" s="148"/>
      <c r="H895" s="149"/>
      <c r="I895" s="150"/>
      <c r="J895" s="149"/>
      <c r="K895" s="149"/>
      <c r="L895" s="149"/>
      <c r="M895" s="149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 ht="15.75" customHeight="1">
      <c r="A896" s="10"/>
      <c r="B896" s="22"/>
      <c r="C896" s="22"/>
      <c r="D896" s="22"/>
      <c r="E896" s="22"/>
      <c r="F896" s="147"/>
      <c r="G896" s="148"/>
      <c r="H896" s="149"/>
      <c r="I896" s="150"/>
      <c r="J896" s="149"/>
      <c r="K896" s="149"/>
      <c r="L896" s="149"/>
      <c r="M896" s="149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 ht="15.75" customHeight="1">
      <c r="A897" s="10"/>
      <c r="B897" s="22"/>
      <c r="C897" s="22"/>
      <c r="D897" s="22"/>
      <c r="E897" s="22"/>
      <c r="F897" s="147"/>
      <c r="G897" s="148"/>
      <c r="H897" s="149"/>
      <c r="I897" s="150"/>
      <c r="J897" s="149"/>
      <c r="K897" s="149"/>
      <c r="L897" s="149"/>
      <c r="M897" s="149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 ht="15.75" customHeight="1">
      <c r="A898" s="10"/>
      <c r="B898" s="22"/>
      <c r="C898" s="22"/>
      <c r="D898" s="22"/>
      <c r="E898" s="22"/>
      <c r="F898" s="147"/>
      <c r="G898" s="148"/>
      <c r="H898" s="149"/>
      <c r="I898" s="150"/>
      <c r="J898" s="149"/>
      <c r="K898" s="149"/>
      <c r="L898" s="149"/>
      <c r="M898" s="149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 ht="15.75" customHeight="1">
      <c r="A899" s="10"/>
      <c r="B899" s="22"/>
      <c r="C899" s="22"/>
      <c r="D899" s="22"/>
      <c r="E899" s="22"/>
      <c r="F899" s="147"/>
      <c r="G899" s="148"/>
      <c r="H899" s="149"/>
      <c r="I899" s="150"/>
      <c r="J899" s="149"/>
      <c r="K899" s="149"/>
      <c r="L899" s="149"/>
      <c r="M899" s="149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 ht="15.75" customHeight="1">
      <c r="A900" s="10"/>
      <c r="B900" s="22"/>
      <c r="C900" s="22"/>
      <c r="D900" s="22"/>
      <c r="E900" s="22"/>
      <c r="F900" s="147"/>
      <c r="G900" s="148"/>
      <c r="H900" s="149"/>
      <c r="I900" s="150"/>
      <c r="J900" s="149"/>
      <c r="K900" s="149"/>
      <c r="L900" s="149"/>
      <c r="M900" s="149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 ht="15.75" customHeight="1">
      <c r="A901" s="10"/>
      <c r="B901" s="22"/>
      <c r="C901" s="22"/>
      <c r="D901" s="22"/>
      <c r="E901" s="22"/>
      <c r="F901" s="147"/>
      <c r="G901" s="148"/>
      <c r="H901" s="149"/>
      <c r="I901" s="150"/>
      <c r="J901" s="149"/>
      <c r="K901" s="149"/>
      <c r="L901" s="149"/>
      <c r="M901" s="149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 ht="15.75" customHeight="1">
      <c r="A902" s="10"/>
      <c r="B902" s="22"/>
      <c r="C902" s="22"/>
      <c r="D902" s="22"/>
      <c r="E902" s="22"/>
      <c r="F902" s="147"/>
      <c r="G902" s="148"/>
      <c r="H902" s="149"/>
      <c r="I902" s="150"/>
      <c r="J902" s="149"/>
      <c r="K902" s="149"/>
      <c r="L902" s="149"/>
      <c r="M902" s="149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 ht="15.75" customHeight="1">
      <c r="A903" s="10"/>
      <c r="B903" s="22"/>
      <c r="C903" s="22"/>
      <c r="D903" s="22"/>
      <c r="E903" s="22"/>
      <c r="F903" s="147"/>
      <c r="G903" s="148"/>
      <c r="H903" s="149"/>
      <c r="I903" s="150"/>
      <c r="J903" s="149"/>
      <c r="K903" s="149"/>
      <c r="L903" s="149"/>
      <c r="M903" s="149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 ht="15.75" customHeight="1">
      <c r="A904" s="10"/>
      <c r="B904" s="22"/>
      <c r="C904" s="22"/>
      <c r="D904" s="22"/>
      <c r="E904" s="22"/>
      <c r="F904" s="147"/>
      <c r="G904" s="148"/>
      <c r="H904" s="149"/>
      <c r="I904" s="150"/>
      <c r="J904" s="149"/>
      <c r="K904" s="149"/>
      <c r="L904" s="149"/>
      <c r="M904" s="149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 ht="15.75" customHeight="1">
      <c r="A905" s="10"/>
      <c r="B905" s="22"/>
      <c r="C905" s="22"/>
      <c r="D905" s="22"/>
      <c r="E905" s="22"/>
      <c r="F905" s="147"/>
      <c r="G905" s="148"/>
      <c r="H905" s="149"/>
      <c r="I905" s="150"/>
      <c r="J905" s="149"/>
      <c r="K905" s="149"/>
      <c r="L905" s="149"/>
      <c r="M905" s="149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 ht="15.75" customHeight="1">
      <c r="A906" s="10"/>
      <c r="B906" s="22"/>
      <c r="C906" s="22"/>
      <c r="D906" s="22"/>
      <c r="E906" s="22"/>
      <c r="F906" s="147"/>
      <c r="G906" s="148"/>
      <c r="H906" s="149"/>
      <c r="I906" s="150"/>
      <c r="J906" s="149"/>
      <c r="K906" s="149"/>
      <c r="L906" s="149"/>
      <c r="M906" s="149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 ht="15.75" customHeight="1">
      <c r="A907" s="10"/>
      <c r="B907" s="22"/>
      <c r="C907" s="22"/>
      <c r="D907" s="22"/>
      <c r="E907" s="22"/>
      <c r="F907" s="147"/>
      <c r="G907" s="148"/>
      <c r="H907" s="149"/>
      <c r="I907" s="150"/>
      <c r="J907" s="149"/>
      <c r="K907" s="149"/>
      <c r="L907" s="149"/>
      <c r="M907" s="149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 ht="15.75" customHeight="1">
      <c r="A908" s="10"/>
      <c r="B908" s="22"/>
      <c r="C908" s="22"/>
      <c r="D908" s="22"/>
      <c r="E908" s="22"/>
      <c r="F908" s="147"/>
      <c r="G908" s="148"/>
      <c r="H908" s="149"/>
      <c r="I908" s="150"/>
      <c r="J908" s="149"/>
      <c r="K908" s="149"/>
      <c r="L908" s="149"/>
      <c r="M908" s="149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 ht="15.75" customHeight="1">
      <c r="A909" s="10"/>
      <c r="B909" s="22"/>
      <c r="C909" s="22"/>
      <c r="D909" s="22"/>
      <c r="E909" s="22"/>
      <c r="F909" s="147"/>
      <c r="G909" s="148"/>
      <c r="H909" s="149"/>
      <c r="I909" s="150"/>
      <c r="J909" s="149"/>
      <c r="K909" s="149"/>
      <c r="L909" s="149"/>
      <c r="M909" s="149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 ht="15.75" customHeight="1">
      <c r="A910" s="10"/>
      <c r="B910" s="22"/>
      <c r="C910" s="22"/>
      <c r="D910" s="22"/>
      <c r="E910" s="22"/>
      <c r="F910" s="147"/>
      <c r="G910" s="148"/>
      <c r="H910" s="149"/>
      <c r="I910" s="150"/>
      <c r="J910" s="149"/>
      <c r="K910" s="149"/>
      <c r="L910" s="149"/>
      <c r="M910" s="149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 ht="15.75" customHeight="1">
      <c r="A911" s="10"/>
      <c r="B911" s="22"/>
      <c r="C911" s="22"/>
      <c r="D911" s="22"/>
      <c r="E911" s="22"/>
      <c r="F911" s="147"/>
      <c r="G911" s="148"/>
      <c r="H911" s="149"/>
      <c r="I911" s="150"/>
      <c r="J911" s="149"/>
      <c r="K911" s="149"/>
      <c r="L911" s="149"/>
      <c r="M911" s="149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 ht="15.75" customHeight="1">
      <c r="A912" s="10"/>
      <c r="B912" s="22"/>
      <c r="C912" s="22"/>
      <c r="D912" s="22"/>
      <c r="E912" s="22"/>
      <c r="F912" s="147"/>
      <c r="G912" s="148"/>
      <c r="H912" s="149"/>
      <c r="I912" s="150"/>
      <c r="J912" s="149"/>
      <c r="K912" s="149"/>
      <c r="L912" s="149"/>
      <c r="M912" s="149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 ht="15.75" customHeight="1">
      <c r="A913" s="10"/>
      <c r="B913" s="22"/>
      <c r="C913" s="22"/>
      <c r="D913" s="22"/>
      <c r="E913" s="22"/>
      <c r="F913" s="147"/>
      <c r="G913" s="148"/>
      <c r="H913" s="149"/>
      <c r="I913" s="150"/>
      <c r="J913" s="149"/>
      <c r="K913" s="149"/>
      <c r="L913" s="149"/>
      <c r="M913" s="149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 ht="15.75" customHeight="1">
      <c r="A914" s="10"/>
      <c r="B914" s="22"/>
      <c r="C914" s="22"/>
      <c r="D914" s="22"/>
      <c r="E914" s="22"/>
      <c r="F914" s="147"/>
      <c r="G914" s="148"/>
      <c r="H914" s="149"/>
      <c r="I914" s="150"/>
      <c r="J914" s="149"/>
      <c r="K914" s="149"/>
      <c r="L914" s="149"/>
      <c r="M914" s="149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 ht="15.75" customHeight="1">
      <c r="A915" s="10"/>
      <c r="B915" s="22"/>
      <c r="C915" s="22"/>
      <c r="D915" s="22"/>
      <c r="E915" s="22"/>
      <c r="F915" s="147"/>
      <c r="G915" s="148"/>
      <c r="H915" s="149"/>
      <c r="I915" s="150"/>
      <c r="J915" s="149"/>
      <c r="K915" s="149"/>
      <c r="L915" s="149"/>
      <c r="M915" s="149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 ht="15.75" customHeight="1">
      <c r="A916" s="10"/>
      <c r="B916" s="22"/>
      <c r="C916" s="22"/>
      <c r="D916" s="22"/>
      <c r="E916" s="22"/>
      <c r="F916" s="147"/>
      <c r="G916" s="148"/>
      <c r="H916" s="149"/>
      <c r="I916" s="150"/>
      <c r="J916" s="149"/>
      <c r="K916" s="149"/>
      <c r="L916" s="149"/>
      <c r="M916" s="149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 ht="15.75" customHeight="1">
      <c r="A917" s="10"/>
      <c r="B917" s="22"/>
      <c r="C917" s="22"/>
      <c r="D917" s="22"/>
      <c r="E917" s="22"/>
      <c r="F917" s="147"/>
      <c r="G917" s="148"/>
      <c r="H917" s="149"/>
      <c r="I917" s="150"/>
      <c r="J917" s="149"/>
      <c r="K917" s="149"/>
      <c r="L917" s="149"/>
      <c r="M917" s="149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 ht="15.75" customHeight="1">
      <c r="A918" s="10"/>
      <c r="B918" s="22"/>
      <c r="C918" s="22"/>
      <c r="D918" s="22"/>
      <c r="E918" s="22"/>
      <c r="F918" s="147"/>
      <c r="G918" s="148"/>
      <c r="H918" s="149"/>
      <c r="I918" s="150"/>
      <c r="J918" s="149"/>
      <c r="K918" s="149"/>
      <c r="L918" s="149"/>
      <c r="M918" s="149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 ht="15.75" customHeight="1">
      <c r="A919" s="10"/>
      <c r="B919" s="22"/>
      <c r="C919" s="22"/>
      <c r="D919" s="22"/>
      <c r="E919" s="22"/>
      <c r="F919" s="147"/>
      <c r="G919" s="148"/>
      <c r="H919" s="149"/>
      <c r="I919" s="150"/>
      <c r="J919" s="149"/>
      <c r="K919" s="149"/>
      <c r="L919" s="149"/>
      <c r="M919" s="149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 ht="15.75" customHeight="1">
      <c r="A920" s="10"/>
      <c r="B920" s="22"/>
      <c r="C920" s="22"/>
      <c r="D920" s="22"/>
      <c r="E920" s="22"/>
      <c r="F920" s="147"/>
      <c r="G920" s="148"/>
      <c r="H920" s="149"/>
      <c r="I920" s="150"/>
      <c r="J920" s="149"/>
      <c r="K920" s="149"/>
      <c r="L920" s="149"/>
      <c r="M920" s="149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 ht="15.75" customHeight="1">
      <c r="A921" s="10"/>
      <c r="B921" s="22"/>
      <c r="C921" s="22"/>
      <c r="D921" s="22"/>
      <c r="E921" s="22"/>
      <c r="F921" s="147"/>
      <c r="G921" s="148"/>
      <c r="H921" s="149"/>
      <c r="I921" s="150"/>
      <c r="J921" s="149"/>
      <c r="K921" s="149"/>
      <c r="L921" s="149"/>
      <c r="M921" s="149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 ht="15.75" customHeight="1">
      <c r="A922" s="10"/>
      <c r="B922" s="22"/>
      <c r="C922" s="22"/>
      <c r="D922" s="22"/>
      <c r="E922" s="22"/>
      <c r="F922" s="147"/>
      <c r="G922" s="148"/>
      <c r="H922" s="149"/>
      <c r="I922" s="150"/>
      <c r="J922" s="149"/>
      <c r="K922" s="149"/>
      <c r="L922" s="149"/>
      <c r="M922" s="149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 ht="15.75" customHeight="1">
      <c r="A923" s="10"/>
      <c r="B923" s="22"/>
      <c r="C923" s="22"/>
      <c r="D923" s="22"/>
      <c r="E923" s="22"/>
      <c r="F923" s="147"/>
      <c r="G923" s="148"/>
      <c r="H923" s="149"/>
      <c r="I923" s="150"/>
      <c r="J923" s="149"/>
      <c r="K923" s="149"/>
      <c r="L923" s="149"/>
      <c r="M923" s="149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 ht="15.75" customHeight="1">
      <c r="A924" s="10"/>
      <c r="B924" s="22"/>
      <c r="C924" s="22"/>
      <c r="D924" s="22"/>
      <c r="E924" s="22"/>
      <c r="F924" s="147"/>
      <c r="G924" s="148"/>
      <c r="H924" s="149"/>
      <c r="I924" s="150"/>
      <c r="J924" s="149"/>
      <c r="K924" s="149"/>
      <c r="L924" s="149"/>
      <c r="M924" s="149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 ht="15.75" customHeight="1">
      <c r="A925" s="10"/>
      <c r="B925" s="22"/>
      <c r="C925" s="22"/>
      <c r="D925" s="22"/>
      <c r="E925" s="22"/>
      <c r="F925" s="147"/>
      <c r="G925" s="148"/>
      <c r="H925" s="149"/>
      <c r="I925" s="150"/>
      <c r="J925" s="149"/>
      <c r="K925" s="149"/>
      <c r="L925" s="149"/>
      <c r="M925" s="149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 ht="15.75" customHeight="1">
      <c r="A926" s="10"/>
      <c r="B926" s="22"/>
      <c r="C926" s="22"/>
      <c r="D926" s="22"/>
      <c r="E926" s="22"/>
      <c r="F926" s="147"/>
      <c r="G926" s="148"/>
      <c r="H926" s="149"/>
      <c r="I926" s="150"/>
      <c r="J926" s="149"/>
      <c r="K926" s="149"/>
      <c r="L926" s="149"/>
      <c r="M926" s="149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 ht="15.75" customHeight="1">
      <c r="A927" s="10"/>
      <c r="B927" s="22"/>
      <c r="C927" s="22"/>
      <c r="D927" s="22"/>
      <c r="E927" s="22"/>
      <c r="F927" s="147"/>
      <c r="G927" s="148"/>
      <c r="H927" s="149"/>
      <c r="I927" s="150"/>
      <c r="J927" s="149"/>
      <c r="K927" s="149"/>
      <c r="L927" s="149"/>
      <c r="M927" s="149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 ht="15.75" customHeight="1">
      <c r="A928" s="10"/>
      <c r="B928" s="22"/>
      <c r="C928" s="22"/>
      <c r="D928" s="22"/>
      <c r="E928" s="22"/>
      <c r="F928" s="147"/>
      <c r="G928" s="148"/>
      <c r="H928" s="149"/>
      <c r="I928" s="150"/>
      <c r="J928" s="149"/>
      <c r="K928" s="149"/>
      <c r="L928" s="149"/>
      <c r="M928" s="149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 ht="15.75" customHeight="1">
      <c r="A929" s="10"/>
      <c r="B929" s="22"/>
      <c r="C929" s="22"/>
      <c r="D929" s="22"/>
      <c r="E929" s="22"/>
      <c r="F929" s="147"/>
      <c r="G929" s="148"/>
      <c r="H929" s="149"/>
      <c r="I929" s="150"/>
      <c r="J929" s="149"/>
      <c r="K929" s="149"/>
      <c r="L929" s="149"/>
      <c r="M929" s="149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 ht="15.75" customHeight="1">
      <c r="A930" s="10"/>
      <c r="B930" s="22"/>
      <c r="C930" s="22"/>
      <c r="D930" s="22"/>
      <c r="E930" s="22"/>
      <c r="F930" s="147"/>
      <c r="G930" s="148"/>
      <c r="H930" s="149"/>
      <c r="I930" s="150"/>
      <c r="J930" s="149"/>
      <c r="K930" s="149"/>
      <c r="L930" s="149"/>
      <c r="M930" s="149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 ht="15.75" customHeight="1">
      <c r="A931" s="10"/>
      <c r="B931" s="22"/>
      <c r="C931" s="22"/>
      <c r="D931" s="22"/>
      <c r="E931" s="22"/>
      <c r="F931" s="147"/>
      <c r="G931" s="148"/>
      <c r="H931" s="149"/>
      <c r="I931" s="150"/>
      <c r="J931" s="149"/>
      <c r="K931" s="149"/>
      <c r="L931" s="149"/>
      <c r="M931" s="149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 ht="15.75" customHeight="1">
      <c r="A932" s="10"/>
      <c r="B932" s="22"/>
      <c r="C932" s="22"/>
      <c r="D932" s="22"/>
      <c r="E932" s="22"/>
      <c r="F932" s="147"/>
      <c r="G932" s="148"/>
      <c r="H932" s="149"/>
      <c r="I932" s="150"/>
      <c r="J932" s="149"/>
      <c r="K932" s="149"/>
      <c r="L932" s="149"/>
      <c r="M932" s="149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 ht="15.75" customHeight="1">
      <c r="A933" s="10"/>
      <c r="B933" s="22"/>
      <c r="C933" s="22"/>
      <c r="D933" s="22"/>
      <c r="E933" s="22"/>
      <c r="F933" s="147"/>
      <c r="G933" s="148"/>
      <c r="H933" s="149"/>
      <c r="I933" s="150"/>
      <c r="J933" s="149"/>
      <c r="K933" s="149"/>
      <c r="L933" s="149"/>
      <c r="M933" s="149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 ht="15.75" customHeight="1">
      <c r="A934" s="10"/>
      <c r="B934" s="22"/>
      <c r="C934" s="22"/>
      <c r="D934" s="22"/>
      <c r="E934" s="22"/>
      <c r="F934" s="147"/>
      <c r="G934" s="148"/>
      <c r="H934" s="149"/>
      <c r="I934" s="150"/>
      <c r="J934" s="149"/>
      <c r="K934" s="149"/>
      <c r="L934" s="149"/>
      <c r="M934" s="149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 ht="15.75" customHeight="1">
      <c r="A935" s="10"/>
      <c r="B935" s="22"/>
      <c r="C935" s="22"/>
      <c r="D935" s="22"/>
      <c r="E935" s="22"/>
      <c r="F935" s="147"/>
      <c r="G935" s="148"/>
      <c r="H935" s="149"/>
      <c r="I935" s="150"/>
      <c r="J935" s="149"/>
      <c r="K935" s="149"/>
      <c r="L935" s="149"/>
      <c r="M935" s="149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 ht="15.75" customHeight="1">
      <c r="A936" s="10"/>
      <c r="B936" s="22"/>
      <c r="C936" s="22"/>
      <c r="D936" s="22"/>
      <c r="E936" s="22"/>
      <c r="F936" s="147"/>
      <c r="G936" s="148"/>
      <c r="H936" s="149"/>
      <c r="I936" s="150"/>
      <c r="J936" s="149"/>
      <c r="K936" s="149"/>
      <c r="L936" s="149"/>
      <c r="M936" s="149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 ht="15.75" customHeight="1">
      <c r="A937" s="10"/>
      <c r="B937" s="22"/>
      <c r="C937" s="22"/>
      <c r="D937" s="22"/>
      <c r="E937" s="22"/>
      <c r="F937" s="147"/>
      <c r="G937" s="148"/>
      <c r="H937" s="149"/>
      <c r="I937" s="150"/>
      <c r="J937" s="149"/>
      <c r="K937" s="149"/>
      <c r="L937" s="149"/>
      <c r="M937" s="149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 ht="15.75" customHeight="1">
      <c r="A938" s="10"/>
      <c r="B938" s="22"/>
      <c r="C938" s="22"/>
      <c r="D938" s="22"/>
      <c r="E938" s="22"/>
      <c r="F938" s="147"/>
      <c r="G938" s="148"/>
      <c r="H938" s="149"/>
      <c r="I938" s="150"/>
      <c r="J938" s="149"/>
      <c r="K938" s="149"/>
      <c r="L938" s="149"/>
      <c r="M938" s="149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 ht="15.75" customHeight="1">
      <c r="A939" s="10"/>
      <c r="B939" s="22"/>
      <c r="C939" s="22"/>
      <c r="D939" s="22"/>
      <c r="E939" s="22"/>
      <c r="F939" s="147"/>
      <c r="G939" s="148"/>
      <c r="H939" s="149"/>
      <c r="I939" s="150"/>
      <c r="J939" s="149"/>
      <c r="K939" s="149"/>
      <c r="L939" s="149"/>
      <c r="M939" s="149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 ht="15.75" customHeight="1">
      <c r="A940" s="10"/>
      <c r="B940" s="22"/>
      <c r="C940" s="22"/>
      <c r="D940" s="22"/>
      <c r="E940" s="22"/>
      <c r="F940" s="147"/>
      <c r="G940" s="148"/>
      <c r="H940" s="149"/>
      <c r="I940" s="150"/>
      <c r="J940" s="149"/>
      <c r="K940" s="149"/>
      <c r="L940" s="149"/>
      <c r="M940" s="149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 ht="15.75" customHeight="1">
      <c r="A941" s="10"/>
      <c r="B941" s="22"/>
      <c r="C941" s="22"/>
      <c r="D941" s="22"/>
      <c r="E941" s="22"/>
      <c r="F941" s="147"/>
      <c r="G941" s="148"/>
      <c r="H941" s="149"/>
      <c r="I941" s="150"/>
      <c r="J941" s="149"/>
      <c r="K941" s="149"/>
      <c r="L941" s="149"/>
      <c r="M941" s="149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 ht="15.75" customHeight="1">
      <c r="A942" s="10"/>
      <c r="B942" s="22"/>
      <c r="C942" s="22"/>
      <c r="D942" s="22"/>
      <c r="E942" s="22"/>
      <c r="F942" s="147"/>
      <c r="G942" s="148"/>
      <c r="H942" s="149"/>
      <c r="I942" s="150"/>
      <c r="J942" s="149"/>
      <c r="K942" s="149"/>
      <c r="L942" s="149"/>
      <c r="M942" s="149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 ht="15.75" customHeight="1">
      <c r="A943" s="10"/>
      <c r="B943" s="22"/>
      <c r="C943" s="22"/>
      <c r="D943" s="22"/>
      <c r="E943" s="22"/>
      <c r="F943" s="147"/>
      <c r="G943" s="148"/>
      <c r="H943" s="149"/>
      <c r="I943" s="150"/>
      <c r="J943" s="149"/>
      <c r="K943" s="149"/>
      <c r="L943" s="149"/>
      <c r="M943" s="149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 ht="15.75" customHeight="1">
      <c r="A944" s="10"/>
      <c r="B944" s="22"/>
      <c r="C944" s="22"/>
      <c r="D944" s="22"/>
      <c r="E944" s="22"/>
      <c r="F944" s="147"/>
      <c r="G944" s="148"/>
      <c r="H944" s="149"/>
      <c r="I944" s="150"/>
      <c r="J944" s="149"/>
      <c r="K944" s="149"/>
      <c r="L944" s="149"/>
      <c r="M944" s="149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 ht="15.75" customHeight="1">
      <c r="A945" s="10"/>
      <c r="B945" s="22"/>
      <c r="C945" s="22"/>
      <c r="D945" s="22"/>
      <c r="E945" s="22"/>
      <c r="F945" s="147"/>
      <c r="G945" s="148"/>
      <c r="H945" s="149"/>
      <c r="I945" s="150"/>
      <c r="J945" s="149"/>
      <c r="K945" s="149"/>
      <c r="L945" s="149"/>
      <c r="M945" s="149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 ht="15.75" customHeight="1">
      <c r="A946" s="10"/>
      <c r="B946" s="22"/>
      <c r="C946" s="22"/>
      <c r="D946" s="22"/>
      <c r="E946" s="22"/>
      <c r="F946" s="147"/>
      <c r="G946" s="148"/>
      <c r="H946" s="149"/>
      <c r="I946" s="150"/>
      <c r="J946" s="149"/>
      <c r="K946" s="149"/>
      <c r="L946" s="149"/>
      <c r="M946" s="149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 ht="15.75" customHeight="1">
      <c r="A947" s="10"/>
      <c r="B947" s="22"/>
      <c r="C947" s="22"/>
      <c r="D947" s="22"/>
      <c r="E947" s="22"/>
      <c r="F947" s="147"/>
      <c r="G947" s="148"/>
      <c r="H947" s="149"/>
      <c r="I947" s="150"/>
      <c r="J947" s="149"/>
      <c r="K947" s="149"/>
      <c r="L947" s="149"/>
      <c r="M947" s="149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 ht="15.75" customHeight="1">
      <c r="A948" s="10"/>
      <c r="B948" s="22"/>
      <c r="C948" s="22"/>
      <c r="D948" s="22"/>
      <c r="E948" s="22"/>
      <c r="F948" s="147"/>
      <c r="G948" s="148"/>
      <c r="H948" s="149"/>
      <c r="I948" s="150"/>
      <c r="J948" s="149"/>
      <c r="K948" s="149"/>
      <c r="L948" s="149"/>
      <c r="M948" s="149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 ht="15.75" customHeight="1">
      <c r="A949" s="10"/>
      <c r="B949" s="22"/>
      <c r="C949" s="22"/>
      <c r="D949" s="22"/>
      <c r="E949" s="22"/>
      <c r="F949" s="147"/>
      <c r="G949" s="148"/>
      <c r="H949" s="149"/>
      <c r="I949" s="150"/>
      <c r="J949" s="149"/>
      <c r="K949" s="149"/>
      <c r="L949" s="149"/>
      <c r="M949" s="149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 ht="15.75" customHeight="1">
      <c r="A950" s="10"/>
      <c r="B950" s="22"/>
      <c r="C950" s="22"/>
      <c r="D950" s="22"/>
      <c r="E950" s="22"/>
      <c r="F950" s="147"/>
      <c r="G950" s="148"/>
      <c r="H950" s="149"/>
      <c r="I950" s="150"/>
      <c r="J950" s="149"/>
      <c r="K950" s="149"/>
      <c r="L950" s="149"/>
      <c r="M950" s="149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 ht="15.75" customHeight="1">
      <c r="A951" s="10"/>
      <c r="B951" s="22"/>
      <c r="C951" s="22"/>
      <c r="D951" s="22"/>
      <c r="E951" s="22"/>
      <c r="F951" s="147"/>
      <c r="G951" s="148"/>
      <c r="H951" s="149"/>
      <c r="I951" s="150"/>
      <c r="J951" s="149"/>
      <c r="K951" s="149"/>
      <c r="L951" s="149"/>
      <c r="M951" s="149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 ht="15.75" customHeight="1">
      <c r="A952" s="10"/>
      <c r="B952" s="22"/>
      <c r="C952" s="22"/>
      <c r="D952" s="22"/>
      <c r="E952" s="22"/>
      <c r="F952" s="147"/>
      <c r="G952" s="148"/>
      <c r="H952" s="149"/>
      <c r="I952" s="150"/>
      <c r="J952" s="149"/>
      <c r="K952" s="149"/>
      <c r="L952" s="149"/>
      <c r="M952" s="149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 ht="15.75" customHeight="1">
      <c r="A953" s="10"/>
      <c r="B953" s="22"/>
      <c r="C953" s="22"/>
      <c r="D953" s="22"/>
      <c r="E953" s="22"/>
      <c r="F953" s="147"/>
      <c r="G953" s="148"/>
      <c r="H953" s="149"/>
      <c r="I953" s="150"/>
      <c r="J953" s="149"/>
      <c r="K953" s="149"/>
      <c r="L953" s="149"/>
      <c r="M953" s="149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 ht="15.75" customHeight="1">
      <c r="A954" s="10"/>
      <c r="B954" s="22"/>
      <c r="C954" s="22"/>
      <c r="D954" s="22"/>
      <c r="E954" s="22"/>
      <c r="F954" s="147"/>
      <c r="G954" s="148"/>
      <c r="H954" s="149"/>
      <c r="I954" s="150"/>
      <c r="J954" s="149"/>
      <c r="K954" s="149"/>
      <c r="L954" s="149"/>
      <c r="M954" s="149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 ht="15.75" customHeight="1">
      <c r="A955" s="10"/>
      <c r="B955" s="22"/>
      <c r="C955" s="22"/>
      <c r="D955" s="22"/>
      <c r="E955" s="22"/>
      <c r="F955" s="147"/>
      <c r="G955" s="148"/>
      <c r="H955" s="149"/>
      <c r="I955" s="150"/>
      <c r="J955" s="149"/>
      <c r="K955" s="149"/>
      <c r="L955" s="149"/>
      <c r="M955" s="149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 ht="15.75" customHeight="1">
      <c r="A956" s="10"/>
      <c r="B956" s="22"/>
      <c r="C956" s="22"/>
      <c r="D956" s="22"/>
      <c r="E956" s="22"/>
      <c r="F956" s="147"/>
      <c r="G956" s="148"/>
      <c r="H956" s="149"/>
      <c r="I956" s="150"/>
      <c r="J956" s="149"/>
      <c r="K956" s="149"/>
      <c r="L956" s="149"/>
      <c r="M956" s="149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 ht="15.75" customHeight="1">
      <c r="A957" s="10"/>
      <c r="B957" s="22"/>
      <c r="C957" s="22"/>
      <c r="D957" s="22"/>
      <c r="E957" s="22"/>
      <c r="F957" s="147"/>
      <c r="G957" s="148"/>
      <c r="H957" s="149"/>
      <c r="I957" s="150"/>
      <c r="J957" s="149"/>
      <c r="K957" s="149"/>
      <c r="L957" s="149"/>
      <c r="M957" s="149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 ht="15.75" customHeight="1">
      <c r="A958" s="10"/>
      <c r="B958" s="22"/>
      <c r="C958" s="22"/>
      <c r="D958" s="22"/>
      <c r="E958" s="22"/>
      <c r="F958" s="147"/>
      <c r="G958" s="148"/>
      <c r="H958" s="149"/>
      <c r="I958" s="150"/>
      <c r="J958" s="149"/>
      <c r="K958" s="149"/>
      <c r="L958" s="149"/>
      <c r="M958" s="149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 ht="15.75" customHeight="1">
      <c r="A959" s="10"/>
      <c r="B959" s="22"/>
      <c r="C959" s="22"/>
      <c r="D959" s="22"/>
      <c r="E959" s="22"/>
      <c r="F959" s="147"/>
      <c r="G959" s="148"/>
      <c r="H959" s="149"/>
      <c r="I959" s="150"/>
      <c r="J959" s="149"/>
      <c r="K959" s="149"/>
      <c r="L959" s="149"/>
      <c r="M959" s="149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 ht="15.75" customHeight="1">
      <c r="A960" s="10"/>
      <c r="B960" s="22"/>
      <c r="C960" s="22"/>
      <c r="D960" s="22"/>
      <c r="E960" s="22"/>
      <c r="F960" s="147"/>
      <c r="G960" s="148"/>
      <c r="H960" s="149"/>
      <c r="I960" s="150"/>
      <c r="J960" s="149"/>
      <c r="K960" s="149"/>
      <c r="L960" s="149"/>
      <c r="M960" s="149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 ht="15.75" customHeight="1">
      <c r="A961" s="10"/>
      <c r="B961" s="22"/>
      <c r="C961" s="22"/>
      <c r="D961" s="22"/>
      <c r="E961" s="22"/>
      <c r="F961" s="147"/>
      <c r="G961" s="148"/>
      <c r="H961" s="149"/>
      <c r="I961" s="150"/>
      <c r="J961" s="149"/>
      <c r="K961" s="149"/>
      <c r="L961" s="149"/>
      <c r="M961" s="149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 ht="15.75" customHeight="1">
      <c r="A962" s="10"/>
      <c r="B962" s="22"/>
      <c r="C962" s="22"/>
      <c r="D962" s="22"/>
      <c r="E962" s="22"/>
      <c r="F962" s="147"/>
      <c r="G962" s="148"/>
      <c r="H962" s="149"/>
      <c r="I962" s="150"/>
      <c r="J962" s="149"/>
      <c r="K962" s="149"/>
      <c r="L962" s="149"/>
      <c r="M962" s="149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 ht="15.75" customHeight="1">
      <c r="A963" s="10"/>
      <c r="B963" s="22"/>
      <c r="C963" s="22"/>
      <c r="D963" s="22"/>
      <c r="E963" s="22"/>
      <c r="F963" s="147"/>
      <c r="G963" s="148"/>
      <c r="H963" s="149"/>
      <c r="I963" s="150"/>
      <c r="J963" s="149"/>
      <c r="K963" s="149"/>
      <c r="L963" s="149"/>
      <c r="M963" s="149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 ht="15.75" customHeight="1">
      <c r="A964" s="10"/>
      <c r="B964" s="22"/>
      <c r="C964" s="22"/>
      <c r="D964" s="22"/>
      <c r="E964" s="22"/>
      <c r="F964" s="147"/>
      <c r="G964" s="148"/>
      <c r="H964" s="149"/>
      <c r="I964" s="150"/>
      <c r="J964" s="149"/>
      <c r="K964" s="149"/>
      <c r="L964" s="149"/>
      <c r="M964" s="149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 ht="15.75" customHeight="1">
      <c r="A965" s="10"/>
      <c r="B965" s="22"/>
      <c r="C965" s="22"/>
      <c r="D965" s="22"/>
      <c r="E965" s="22"/>
      <c r="F965" s="147"/>
      <c r="G965" s="148"/>
      <c r="H965" s="149"/>
      <c r="I965" s="150"/>
      <c r="J965" s="149"/>
      <c r="K965" s="149"/>
      <c r="L965" s="149"/>
      <c r="M965" s="149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 ht="15.75" customHeight="1">
      <c r="A966" s="10"/>
      <c r="B966" s="22"/>
      <c r="C966" s="22"/>
      <c r="D966" s="22"/>
      <c r="E966" s="22"/>
      <c r="F966" s="147"/>
      <c r="G966" s="148"/>
      <c r="H966" s="149"/>
      <c r="I966" s="150"/>
      <c r="J966" s="149"/>
      <c r="K966" s="149"/>
      <c r="L966" s="149"/>
      <c r="M966" s="149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 ht="15.75" customHeight="1">
      <c r="A967" s="10"/>
      <c r="B967" s="22"/>
      <c r="C967" s="22"/>
      <c r="D967" s="22"/>
      <c r="E967" s="22"/>
      <c r="F967" s="147"/>
      <c r="G967" s="148"/>
      <c r="H967" s="149"/>
      <c r="I967" s="150"/>
      <c r="J967" s="149"/>
      <c r="K967" s="149"/>
      <c r="L967" s="149"/>
      <c r="M967" s="149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 ht="15.75" customHeight="1">
      <c r="A968" s="10"/>
      <c r="B968" s="22"/>
      <c r="C968" s="22"/>
      <c r="D968" s="22"/>
      <c r="E968" s="22"/>
      <c r="F968" s="147"/>
      <c r="G968" s="148"/>
      <c r="H968" s="149"/>
      <c r="I968" s="150"/>
      <c r="J968" s="149"/>
      <c r="K968" s="149"/>
      <c r="L968" s="149"/>
      <c r="M968" s="149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 ht="15.75" customHeight="1">
      <c r="A969" s="10"/>
      <c r="B969" s="22"/>
      <c r="C969" s="22"/>
      <c r="D969" s="22"/>
      <c r="E969" s="22"/>
      <c r="F969" s="147"/>
      <c r="G969" s="148"/>
      <c r="H969" s="149"/>
      <c r="I969" s="150"/>
      <c r="J969" s="149"/>
      <c r="K969" s="149"/>
      <c r="L969" s="149"/>
      <c r="M969" s="149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 ht="15.75" customHeight="1">
      <c r="A970" s="10"/>
      <c r="B970" s="22"/>
      <c r="C970" s="22"/>
      <c r="D970" s="22"/>
      <c r="E970" s="22"/>
      <c r="F970" s="147"/>
      <c r="G970" s="148"/>
      <c r="H970" s="149"/>
      <c r="I970" s="150"/>
      <c r="J970" s="149"/>
      <c r="K970" s="149"/>
      <c r="L970" s="149"/>
      <c r="M970" s="149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 ht="15.75" customHeight="1">
      <c r="A971" s="10"/>
      <c r="B971" s="22"/>
      <c r="C971" s="22"/>
      <c r="D971" s="22"/>
      <c r="E971" s="22"/>
      <c r="F971" s="147"/>
      <c r="G971" s="148"/>
      <c r="H971" s="149"/>
      <c r="I971" s="150"/>
      <c r="J971" s="149"/>
      <c r="K971" s="149"/>
      <c r="L971" s="149"/>
      <c r="M971" s="149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 ht="15.75" customHeight="1">
      <c r="A972" s="10"/>
      <c r="B972" s="22"/>
      <c r="C972" s="22"/>
      <c r="D972" s="22"/>
      <c r="E972" s="22"/>
      <c r="F972" s="147"/>
      <c r="G972" s="148"/>
      <c r="H972" s="149"/>
      <c r="I972" s="150"/>
      <c r="J972" s="149"/>
      <c r="K972" s="149"/>
      <c r="L972" s="149"/>
      <c r="M972" s="149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 ht="15.75" customHeight="1">
      <c r="A973" s="10"/>
      <c r="B973" s="22"/>
      <c r="C973" s="22"/>
      <c r="D973" s="22"/>
      <c r="E973" s="22"/>
      <c r="F973" s="147"/>
      <c r="G973" s="148"/>
      <c r="H973" s="149"/>
      <c r="I973" s="150"/>
      <c r="J973" s="149"/>
      <c r="K973" s="149"/>
      <c r="L973" s="149"/>
      <c r="M973" s="149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 ht="15.75" customHeight="1">
      <c r="A974" s="10"/>
      <c r="B974" s="22"/>
      <c r="C974" s="22"/>
      <c r="D974" s="22"/>
      <c r="E974" s="22"/>
      <c r="F974" s="147"/>
      <c r="G974" s="148"/>
      <c r="H974" s="149"/>
      <c r="I974" s="150"/>
      <c r="J974" s="149"/>
      <c r="K974" s="149"/>
      <c r="L974" s="149"/>
      <c r="M974" s="149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 ht="15.75" customHeight="1">
      <c r="A975" s="10"/>
      <c r="B975" s="22"/>
      <c r="C975" s="22"/>
      <c r="D975" s="22"/>
      <c r="E975" s="22"/>
      <c r="F975" s="147"/>
      <c r="G975" s="148"/>
      <c r="H975" s="149"/>
      <c r="I975" s="150"/>
      <c r="J975" s="149"/>
      <c r="K975" s="149"/>
      <c r="L975" s="149"/>
      <c r="M975" s="149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 ht="15.75" customHeight="1">
      <c r="A976" s="10"/>
      <c r="B976" s="22"/>
      <c r="C976" s="22"/>
      <c r="D976" s="22"/>
      <c r="E976" s="22"/>
      <c r="F976" s="147"/>
      <c r="G976" s="148"/>
      <c r="H976" s="149"/>
      <c r="I976" s="150"/>
      <c r="J976" s="149"/>
      <c r="K976" s="149"/>
      <c r="L976" s="149"/>
      <c r="M976" s="149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 ht="15.75" customHeight="1">
      <c r="A977" s="10"/>
      <c r="B977" s="22"/>
      <c r="C977" s="22"/>
      <c r="D977" s="22"/>
      <c r="E977" s="22"/>
      <c r="F977" s="147"/>
      <c r="G977" s="148"/>
      <c r="H977" s="149"/>
      <c r="I977" s="150"/>
      <c r="J977" s="149"/>
      <c r="K977" s="149"/>
      <c r="L977" s="149"/>
      <c r="M977" s="149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 ht="15.75" customHeight="1">
      <c r="A978" s="10"/>
      <c r="B978" s="22"/>
      <c r="C978" s="22"/>
      <c r="D978" s="22"/>
      <c r="E978" s="22"/>
      <c r="F978" s="147"/>
      <c r="G978" s="148"/>
      <c r="H978" s="149"/>
      <c r="I978" s="150"/>
      <c r="J978" s="149"/>
      <c r="K978" s="149"/>
      <c r="L978" s="149"/>
      <c r="M978" s="149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 ht="15.75" customHeight="1">
      <c r="A979" s="10"/>
      <c r="B979" s="22"/>
      <c r="C979" s="22"/>
      <c r="D979" s="22"/>
      <c r="E979" s="22"/>
      <c r="F979" s="147"/>
      <c r="G979" s="148"/>
      <c r="H979" s="149"/>
      <c r="I979" s="150"/>
      <c r="J979" s="149"/>
      <c r="K979" s="149"/>
      <c r="L979" s="149"/>
      <c r="M979" s="149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 ht="15.75" customHeight="1">
      <c r="A980" s="10"/>
      <c r="B980" s="22"/>
      <c r="C980" s="22"/>
      <c r="D980" s="22"/>
      <c r="E980" s="22"/>
      <c r="F980" s="147"/>
      <c r="G980" s="148"/>
      <c r="H980" s="149"/>
      <c r="I980" s="150"/>
      <c r="J980" s="149"/>
      <c r="K980" s="149"/>
      <c r="L980" s="149"/>
      <c r="M980" s="149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 ht="15.75" customHeight="1">
      <c r="A981" s="10"/>
      <c r="B981" s="22"/>
      <c r="C981" s="22"/>
      <c r="D981" s="22"/>
      <c r="E981" s="22"/>
      <c r="F981" s="147"/>
      <c r="G981" s="148"/>
      <c r="H981" s="149"/>
      <c r="I981" s="150"/>
      <c r="J981" s="149"/>
      <c r="K981" s="149"/>
      <c r="L981" s="149"/>
      <c r="M981" s="149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 ht="15.75" customHeight="1">
      <c r="A982" s="10"/>
      <c r="B982" s="22"/>
      <c r="C982" s="22"/>
      <c r="D982" s="22"/>
      <c r="E982" s="22"/>
      <c r="F982" s="147"/>
      <c r="G982" s="148"/>
      <c r="H982" s="149"/>
      <c r="I982" s="150"/>
      <c r="J982" s="149"/>
      <c r="K982" s="149"/>
      <c r="L982" s="149"/>
      <c r="M982" s="149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 ht="15.75" customHeight="1">
      <c r="A983" s="10"/>
      <c r="B983" s="22"/>
      <c r="C983" s="22"/>
      <c r="D983" s="22"/>
      <c r="E983" s="22"/>
      <c r="F983" s="147"/>
      <c r="G983" s="148"/>
      <c r="H983" s="149"/>
      <c r="I983" s="150"/>
      <c r="J983" s="149"/>
      <c r="K983" s="149"/>
      <c r="L983" s="149"/>
      <c r="M983" s="149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 ht="15.75" customHeight="1">
      <c r="A984" s="10"/>
      <c r="B984" s="22"/>
      <c r="C984" s="22"/>
      <c r="D984" s="22"/>
      <c r="E984" s="22"/>
      <c r="F984" s="147"/>
      <c r="G984" s="148"/>
      <c r="H984" s="149"/>
      <c r="I984" s="150"/>
      <c r="J984" s="149"/>
      <c r="K984" s="149"/>
      <c r="L984" s="149"/>
      <c r="M984" s="149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 ht="15.75" customHeight="1">
      <c r="A985" s="10"/>
      <c r="B985" s="22"/>
      <c r="C985" s="22"/>
      <c r="D985" s="22"/>
      <c r="E985" s="22"/>
      <c r="F985" s="147"/>
      <c r="G985" s="148"/>
      <c r="H985" s="149"/>
      <c r="I985" s="150"/>
      <c r="J985" s="149"/>
      <c r="K985" s="149"/>
      <c r="L985" s="149"/>
      <c r="M985" s="149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 ht="15.75" customHeight="1">
      <c r="A986" s="10"/>
      <c r="B986" s="22"/>
      <c r="C986" s="22"/>
      <c r="D986" s="22"/>
      <c r="E986" s="22"/>
      <c r="F986" s="147"/>
      <c r="G986" s="148"/>
      <c r="H986" s="149"/>
      <c r="I986" s="150"/>
      <c r="J986" s="149"/>
      <c r="K986" s="149"/>
      <c r="L986" s="149"/>
      <c r="M986" s="149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 ht="15.75" customHeight="1">
      <c r="A987" s="10"/>
      <c r="B987" s="22"/>
      <c r="C987" s="22"/>
      <c r="D987" s="22"/>
      <c r="E987" s="22"/>
      <c r="F987" s="147"/>
      <c r="G987" s="148"/>
      <c r="H987" s="149"/>
      <c r="I987" s="150"/>
      <c r="J987" s="149"/>
      <c r="K987" s="149"/>
      <c r="L987" s="149"/>
      <c r="M987" s="149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 ht="15.75" customHeight="1">
      <c r="A988" s="10"/>
      <c r="B988" s="22"/>
      <c r="C988" s="22"/>
      <c r="D988" s="22"/>
      <c r="E988" s="22"/>
      <c r="F988" s="147"/>
      <c r="G988" s="148"/>
      <c r="H988" s="149"/>
      <c r="I988" s="150"/>
      <c r="J988" s="149"/>
      <c r="K988" s="149"/>
      <c r="L988" s="149"/>
      <c r="M988" s="149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 ht="15.75" customHeight="1">
      <c r="A989" s="10"/>
      <c r="B989" s="22"/>
      <c r="C989" s="22"/>
      <c r="D989" s="22"/>
      <c r="E989" s="22"/>
      <c r="F989" s="147"/>
      <c r="G989" s="148"/>
      <c r="H989" s="149"/>
      <c r="I989" s="150"/>
      <c r="J989" s="149"/>
      <c r="K989" s="149"/>
      <c r="L989" s="149"/>
      <c r="M989" s="149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 ht="15.75" customHeight="1">
      <c r="A990" s="10"/>
      <c r="B990" s="22"/>
      <c r="C990" s="22"/>
      <c r="D990" s="22"/>
      <c r="E990" s="22"/>
      <c r="F990" s="147"/>
      <c r="G990" s="148"/>
      <c r="H990" s="149"/>
      <c r="I990" s="150"/>
      <c r="J990" s="149"/>
      <c r="K990" s="149"/>
      <c r="L990" s="149"/>
      <c r="M990" s="149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 ht="15.75" customHeight="1">
      <c r="A991" s="10"/>
      <c r="B991" s="22"/>
      <c r="C991" s="22"/>
      <c r="D991" s="22"/>
      <c r="E991" s="22"/>
      <c r="F991" s="147"/>
      <c r="G991" s="148"/>
      <c r="H991" s="149"/>
      <c r="I991" s="150"/>
      <c r="J991" s="149"/>
      <c r="K991" s="149"/>
      <c r="L991" s="149"/>
      <c r="M991" s="149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 ht="15.75" customHeight="1">
      <c r="A992" s="10"/>
      <c r="B992" s="22"/>
      <c r="C992" s="22"/>
      <c r="D992" s="22"/>
      <c r="E992" s="22"/>
      <c r="F992" s="147"/>
      <c r="G992" s="148"/>
      <c r="H992" s="149"/>
      <c r="I992" s="150"/>
      <c r="J992" s="149"/>
      <c r="K992" s="149"/>
      <c r="L992" s="149"/>
      <c r="M992" s="149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 ht="15.75" customHeight="1">
      <c r="A993" s="10"/>
      <c r="B993" s="22"/>
      <c r="C993" s="22"/>
      <c r="D993" s="22"/>
      <c r="E993" s="22"/>
      <c r="F993" s="147"/>
      <c r="G993" s="148"/>
      <c r="H993" s="149"/>
      <c r="I993" s="150"/>
      <c r="J993" s="149"/>
      <c r="K993" s="149"/>
      <c r="L993" s="149"/>
      <c r="M993" s="149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 ht="15.75" customHeight="1">
      <c r="A994" s="10"/>
      <c r="B994" s="22"/>
      <c r="C994" s="22"/>
      <c r="D994" s="22"/>
      <c r="E994" s="22"/>
      <c r="F994" s="147"/>
      <c r="G994" s="148"/>
      <c r="H994" s="149"/>
      <c r="I994" s="150"/>
      <c r="J994" s="149"/>
      <c r="K994" s="149"/>
      <c r="L994" s="149"/>
      <c r="M994" s="149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 ht="15.75" customHeight="1">
      <c r="A995" s="10"/>
      <c r="B995" s="22"/>
      <c r="C995" s="22"/>
      <c r="D995" s="22"/>
      <c r="E995" s="22"/>
      <c r="F995" s="147"/>
      <c r="G995" s="148"/>
      <c r="H995" s="149"/>
      <c r="I995" s="150"/>
      <c r="J995" s="149"/>
      <c r="K995" s="149"/>
      <c r="L995" s="149"/>
      <c r="M995" s="149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 ht="15.75" customHeight="1">
      <c r="A996" s="10"/>
      <c r="B996" s="22"/>
      <c r="C996" s="22"/>
      <c r="D996" s="22"/>
      <c r="E996" s="22"/>
      <c r="F996" s="147"/>
      <c r="G996" s="148"/>
      <c r="H996" s="149"/>
      <c r="I996" s="150"/>
      <c r="J996" s="149"/>
      <c r="K996" s="149"/>
      <c r="L996" s="149"/>
      <c r="M996" s="149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 ht="15.75" customHeight="1">
      <c r="A997" s="10"/>
      <c r="B997" s="22"/>
      <c r="C997" s="22"/>
      <c r="D997" s="22"/>
      <c r="E997" s="22"/>
      <c r="F997" s="147"/>
      <c r="G997" s="148"/>
      <c r="H997" s="149"/>
      <c r="I997" s="150"/>
      <c r="J997" s="149"/>
      <c r="K997" s="149"/>
      <c r="L997" s="149"/>
      <c r="M997" s="149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 ht="15.75" customHeight="1">
      <c r="A998" s="10"/>
      <c r="B998" s="22"/>
      <c r="C998" s="22"/>
      <c r="D998" s="22"/>
      <c r="E998" s="22"/>
      <c r="F998" s="147"/>
      <c r="G998" s="148"/>
      <c r="H998" s="149"/>
      <c r="I998" s="150"/>
      <c r="J998" s="149"/>
      <c r="K998" s="149"/>
      <c r="L998" s="149"/>
      <c r="M998" s="149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 ht="15.75" customHeight="1">
      <c r="A999" s="10"/>
      <c r="B999" s="22"/>
      <c r="C999" s="22"/>
      <c r="D999" s="22"/>
      <c r="E999" s="22"/>
      <c r="F999" s="147"/>
      <c r="G999" s="148"/>
      <c r="H999" s="149"/>
      <c r="I999" s="150"/>
      <c r="J999" s="149"/>
      <c r="K999" s="149"/>
      <c r="L999" s="149"/>
      <c r="M999" s="149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</sheetData>
  <autoFilter ref="$A$1:$N$999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89.22"/>
  </cols>
  <sheetData>
    <row r="1">
      <c r="A1" s="26" t="s">
        <v>2</v>
      </c>
      <c r="B1" s="26" t="s">
        <v>42</v>
      </c>
      <c r="C1" s="26" t="s">
        <v>44</v>
      </c>
      <c r="D1" s="26" t="s">
        <v>45</v>
      </c>
    </row>
    <row r="2" ht="34.5" customHeight="1">
      <c r="A2" s="28" t="s">
        <v>46</v>
      </c>
      <c r="B2" s="28">
        <v>268.0</v>
      </c>
      <c r="C2" s="28"/>
      <c r="D2" s="28" t="s">
        <v>48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34.5" customHeight="1">
      <c r="A3" s="38" t="s">
        <v>64</v>
      </c>
      <c r="B3" s="38">
        <v>222.0</v>
      </c>
      <c r="C3" s="38"/>
      <c r="D3" s="38" t="s">
        <v>68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ht="34.5" customHeight="1">
      <c r="A4" s="38" t="s">
        <v>72</v>
      </c>
      <c r="B4" s="38">
        <v>146.0</v>
      </c>
      <c r="C4" s="38"/>
      <c r="D4" s="38" t="s">
        <v>73</v>
      </c>
      <c r="E4" s="40" t="s">
        <v>74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ht="34.5" customHeight="1">
      <c r="A5" s="38" t="s">
        <v>78</v>
      </c>
      <c r="B5" s="38">
        <v>117.0</v>
      </c>
      <c r="C5" s="38"/>
      <c r="D5" s="38" t="s">
        <v>73</v>
      </c>
      <c r="E5" s="39"/>
      <c r="F5" s="40">
        <v>646.0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ht="34.5" customHeight="1">
      <c r="A6" s="38" t="s">
        <v>91</v>
      </c>
      <c r="B6" s="38">
        <v>149.0</v>
      </c>
      <c r="C6" s="38"/>
      <c r="D6" s="38" t="s">
        <v>73</v>
      </c>
      <c r="E6" s="40" t="s">
        <v>94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ht="34.5" customHeight="1">
      <c r="A7" s="38" t="s">
        <v>97</v>
      </c>
      <c r="B7" s="38" t="s">
        <v>99</v>
      </c>
      <c r="C7" s="38"/>
      <c r="D7" s="38" t="s">
        <v>73</v>
      </c>
      <c r="E7" s="40" t="s">
        <v>102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0.56"/>
    <col customWidth="1" min="2" max="2" width="8.44"/>
    <col customWidth="1" min="3" max="3" width="18.56"/>
    <col customWidth="1" min="5" max="5" width="29.67"/>
    <col customWidth="1" min="6" max="6" width="13.0"/>
    <col customWidth="1" min="7" max="9" width="15.67"/>
  </cols>
  <sheetData>
    <row r="1">
      <c r="A1" s="91" t="s">
        <v>2</v>
      </c>
      <c r="B1" s="91" t="s">
        <v>5</v>
      </c>
      <c r="C1" s="91" t="s">
        <v>513</v>
      </c>
      <c r="D1" s="91" t="s">
        <v>515</v>
      </c>
      <c r="E1" s="91" t="s">
        <v>8</v>
      </c>
      <c r="F1" s="91" t="s">
        <v>49</v>
      </c>
      <c r="G1" s="91" t="s">
        <v>519</v>
      </c>
      <c r="H1" s="91" t="s">
        <v>520</v>
      </c>
      <c r="I1" s="91" t="s">
        <v>522</v>
      </c>
      <c r="J1" s="2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</row>
    <row r="2">
      <c r="A2" s="94" t="s">
        <v>26</v>
      </c>
      <c r="B2" s="95">
        <v>156.0</v>
      </c>
      <c r="C2" s="94" t="s">
        <v>29</v>
      </c>
      <c r="D2" s="94" t="s">
        <v>541</v>
      </c>
      <c r="E2" s="94" t="s">
        <v>543</v>
      </c>
      <c r="F2" s="97"/>
      <c r="G2" s="97"/>
      <c r="H2" s="94">
        <v>1.0</v>
      </c>
      <c r="I2" s="94">
        <v>1.0</v>
      </c>
      <c r="J2" s="1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>
      <c r="A3" s="94" t="s">
        <v>549</v>
      </c>
      <c r="B3" s="95">
        <v>193.0</v>
      </c>
      <c r="C3" s="94" t="s">
        <v>29</v>
      </c>
      <c r="D3" s="94" t="s">
        <v>541</v>
      </c>
      <c r="E3" s="94" t="s">
        <v>550</v>
      </c>
      <c r="F3" s="97"/>
      <c r="G3" s="94">
        <v>1.0</v>
      </c>
      <c r="H3" s="97"/>
      <c r="I3" s="94">
        <v>2.0</v>
      </c>
      <c r="J3" s="10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>
      <c r="A4" s="94" t="s">
        <v>553</v>
      </c>
      <c r="B4" s="95">
        <v>194.0</v>
      </c>
      <c r="C4" s="94" t="s">
        <v>29</v>
      </c>
      <c r="D4" s="94" t="s">
        <v>541</v>
      </c>
      <c r="E4" s="94" t="s">
        <v>557</v>
      </c>
      <c r="F4" s="97"/>
      <c r="G4" s="97"/>
      <c r="H4" s="97"/>
      <c r="I4" s="94">
        <v>2.0</v>
      </c>
      <c r="J4" s="10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</row>
    <row r="5">
      <c r="A5" s="94" t="s">
        <v>34</v>
      </c>
      <c r="B5" s="95">
        <v>196.0</v>
      </c>
      <c r="C5" s="94" t="s">
        <v>29</v>
      </c>
      <c r="D5" s="94" t="s">
        <v>541</v>
      </c>
      <c r="E5" s="94" t="s">
        <v>566</v>
      </c>
      <c r="F5" s="97"/>
      <c r="G5" s="94">
        <v>1.0</v>
      </c>
      <c r="H5" s="97"/>
      <c r="I5" s="97"/>
      <c r="J5" s="10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>
      <c r="A6" s="94" t="s">
        <v>40</v>
      </c>
      <c r="B6" s="95">
        <v>209.0</v>
      </c>
      <c r="C6" s="94" t="s">
        <v>29</v>
      </c>
      <c r="D6" s="94" t="s">
        <v>541</v>
      </c>
      <c r="E6" s="94" t="s">
        <v>573</v>
      </c>
      <c r="F6" s="97"/>
      <c r="G6" s="94">
        <v>1.0</v>
      </c>
      <c r="H6" s="97"/>
      <c r="I6" s="97"/>
      <c r="J6" s="10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94" t="s">
        <v>50</v>
      </c>
      <c r="B7" s="95">
        <v>220.0</v>
      </c>
      <c r="C7" s="94" t="s">
        <v>29</v>
      </c>
      <c r="D7" s="94" t="s">
        <v>541</v>
      </c>
      <c r="E7" s="94" t="s">
        <v>580</v>
      </c>
      <c r="F7" s="97"/>
      <c r="G7" s="97"/>
      <c r="H7" s="97"/>
      <c r="I7" s="97"/>
      <c r="J7" s="1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>
      <c r="A8" s="94" t="s">
        <v>586</v>
      </c>
      <c r="B8" s="95">
        <v>221.0</v>
      </c>
      <c r="C8" s="94" t="s">
        <v>29</v>
      </c>
      <c r="D8" s="94" t="s">
        <v>541</v>
      </c>
      <c r="E8" s="94" t="s">
        <v>590</v>
      </c>
      <c r="F8" s="97"/>
      <c r="G8" s="97"/>
      <c r="H8" s="94">
        <v>2.0</v>
      </c>
      <c r="I8" s="97"/>
      <c r="J8" s="1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</row>
    <row r="9">
      <c r="A9" s="94" t="s">
        <v>59</v>
      </c>
      <c r="B9" s="95">
        <v>252.0</v>
      </c>
      <c r="C9" s="94" t="s">
        <v>29</v>
      </c>
      <c r="D9" s="94" t="s">
        <v>541</v>
      </c>
      <c r="E9" s="94" t="s">
        <v>598</v>
      </c>
      <c r="F9" s="97"/>
      <c r="G9" s="97"/>
      <c r="H9" s="97"/>
      <c r="I9" s="97"/>
      <c r="J9" s="10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</row>
    <row r="10">
      <c r="A10" s="94" t="s">
        <v>69</v>
      </c>
      <c r="B10" s="95">
        <v>253.0</v>
      </c>
      <c r="C10" s="94" t="s">
        <v>29</v>
      </c>
      <c r="D10" s="94" t="s">
        <v>541</v>
      </c>
      <c r="E10" s="94" t="s">
        <v>605</v>
      </c>
      <c r="F10" s="97"/>
      <c r="G10" s="97"/>
      <c r="H10" s="97"/>
      <c r="I10" s="97"/>
      <c r="J10" s="10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</row>
    <row r="11">
      <c r="A11" s="94" t="s">
        <v>77</v>
      </c>
      <c r="B11" s="95">
        <v>302.0</v>
      </c>
      <c r="C11" s="94" t="s">
        <v>29</v>
      </c>
      <c r="D11" s="94" t="s">
        <v>541</v>
      </c>
      <c r="E11" s="94" t="s">
        <v>609</v>
      </c>
      <c r="F11" s="97"/>
      <c r="G11" s="97"/>
      <c r="H11" s="97"/>
      <c r="I11" s="94">
        <v>1.0</v>
      </c>
      <c r="J11" s="10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94" t="s">
        <v>615</v>
      </c>
      <c r="B12" s="95">
        <v>311.0</v>
      </c>
      <c r="C12" s="94" t="s">
        <v>29</v>
      </c>
      <c r="D12" s="94" t="s">
        <v>541</v>
      </c>
      <c r="E12" s="94" t="s">
        <v>617</v>
      </c>
      <c r="F12" s="97"/>
      <c r="G12" s="94">
        <v>1.0</v>
      </c>
      <c r="H12" s="97"/>
      <c r="I12" s="97"/>
      <c r="J12" s="10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>
      <c r="A13" s="94" t="s">
        <v>624</v>
      </c>
      <c r="B13" s="95">
        <v>382.0</v>
      </c>
      <c r="C13" s="94" t="s">
        <v>29</v>
      </c>
      <c r="D13" s="94" t="s">
        <v>541</v>
      </c>
      <c r="E13" s="94" t="s">
        <v>626</v>
      </c>
      <c r="F13" s="97"/>
      <c r="G13" s="97"/>
      <c r="H13" s="94">
        <v>1.0</v>
      </c>
      <c r="I13" s="97"/>
      <c r="J13" s="10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>
      <c r="A14" s="94" t="s">
        <v>83</v>
      </c>
      <c r="B14" s="95">
        <v>387.0</v>
      </c>
      <c r="C14" s="94" t="s">
        <v>29</v>
      </c>
      <c r="D14" s="94" t="s">
        <v>541</v>
      </c>
      <c r="E14" s="94" t="s">
        <v>635</v>
      </c>
      <c r="F14" s="97"/>
      <c r="G14" s="94">
        <v>3.0</v>
      </c>
      <c r="H14" s="97"/>
      <c r="I14" s="97"/>
      <c r="J14" s="10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</row>
    <row r="15">
      <c r="A15" s="94" t="s">
        <v>118</v>
      </c>
      <c r="B15" s="95">
        <v>388.0</v>
      </c>
      <c r="C15" s="94" t="s">
        <v>29</v>
      </c>
      <c r="D15" s="94" t="s">
        <v>541</v>
      </c>
      <c r="E15" s="94" t="s">
        <v>640</v>
      </c>
      <c r="F15" s="97"/>
      <c r="G15" s="94">
        <v>3.0</v>
      </c>
      <c r="H15" s="97"/>
      <c r="I15" s="97"/>
      <c r="J15" s="10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>
      <c r="A16" s="94" t="s">
        <v>88</v>
      </c>
      <c r="B16" s="95">
        <v>402.0</v>
      </c>
      <c r="C16" s="94" t="s">
        <v>29</v>
      </c>
      <c r="D16" s="94" t="s">
        <v>541</v>
      </c>
      <c r="E16" s="94" t="s">
        <v>646</v>
      </c>
      <c r="F16" s="97"/>
      <c r="G16" s="94">
        <v>1.0</v>
      </c>
      <c r="H16" s="94">
        <v>2.0</v>
      </c>
      <c r="I16" s="97"/>
      <c r="J16" s="10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94" t="s">
        <v>123</v>
      </c>
      <c r="B17" s="95">
        <v>404.0</v>
      </c>
      <c r="C17" s="94" t="s">
        <v>29</v>
      </c>
      <c r="D17" s="94" t="s">
        <v>541</v>
      </c>
      <c r="E17" s="94" t="s">
        <v>653</v>
      </c>
      <c r="F17" s="97"/>
      <c r="G17" s="94">
        <v>1.0</v>
      </c>
      <c r="H17" s="97"/>
      <c r="I17" s="97"/>
      <c r="J17" s="10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>
      <c r="A18" s="94" t="s">
        <v>130</v>
      </c>
      <c r="B18" s="95">
        <v>405.0</v>
      </c>
      <c r="C18" s="94" t="s">
        <v>29</v>
      </c>
      <c r="D18" s="94" t="s">
        <v>541</v>
      </c>
      <c r="E18" s="94" t="s">
        <v>662</v>
      </c>
      <c r="F18" s="97"/>
      <c r="G18" s="94">
        <v>1.0</v>
      </c>
      <c r="H18" s="97"/>
      <c r="I18" s="97"/>
      <c r="J18" s="10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>
      <c r="A19" s="94" t="s">
        <v>671</v>
      </c>
      <c r="B19" s="95">
        <v>406.0</v>
      </c>
      <c r="C19" s="94" t="s">
        <v>29</v>
      </c>
      <c r="D19" s="94" t="s">
        <v>541</v>
      </c>
      <c r="E19" s="94" t="s">
        <v>673</v>
      </c>
      <c r="F19" s="97"/>
      <c r="G19" s="97"/>
      <c r="H19" s="94">
        <v>1.0</v>
      </c>
      <c r="I19" s="97"/>
      <c r="J19" s="10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>
      <c r="A20" s="94" t="s">
        <v>680</v>
      </c>
      <c r="B20" s="95">
        <v>408.0</v>
      </c>
      <c r="C20" s="94" t="s">
        <v>29</v>
      </c>
      <c r="D20" s="94" t="s">
        <v>541</v>
      </c>
      <c r="E20" s="94" t="s">
        <v>683</v>
      </c>
      <c r="F20" s="97"/>
      <c r="G20" s="97"/>
      <c r="H20" s="97"/>
      <c r="I20" s="94">
        <v>2.0</v>
      </c>
      <c r="J20" s="10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>
      <c r="A21" s="94" t="s">
        <v>95</v>
      </c>
      <c r="B21" s="95">
        <v>409.0</v>
      </c>
      <c r="C21" s="94" t="s">
        <v>29</v>
      </c>
      <c r="D21" s="94" t="s">
        <v>541</v>
      </c>
      <c r="E21" s="94" t="s">
        <v>690</v>
      </c>
      <c r="F21" s="97"/>
      <c r="G21" s="97"/>
      <c r="H21" s="94">
        <v>1.0</v>
      </c>
      <c r="I21" s="97"/>
      <c r="J21" s="10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94" t="s">
        <v>695</v>
      </c>
      <c r="B22" s="95">
        <v>410.0</v>
      </c>
      <c r="C22" s="94" t="s">
        <v>29</v>
      </c>
      <c r="D22" s="94" t="s">
        <v>541</v>
      </c>
      <c r="E22" s="94" t="s">
        <v>699</v>
      </c>
      <c r="F22" s="97"/>
      <c r="G22" s="97"/>
      <c r="H22" s="94">
        <v>3.0</v>
      </c>
      <c r="I22" s="97"/>
      <c r="J22" s="10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>
      <c r="A23" s="94" t="s">
        <v>706</v>
      </c>
      <c r="B23" s="95">
        <v>411.0</v>
      </c>
      <c r="C23" s="94" t="s">
        <v>29</v>
      </c>
      <c r="D23" s="94" t="s">
        <v>541</v>
      </c>
      <c r="E23" s="94" t="s">
        <v>708</v>
      </c>
      <c r="F23" s="97"/>
      <c r="G23" s="97"/>
      <c r="H23" s="94">
        <v>1.0</v>
      </c>
      <c r="I23" s="97"/>
      <c r="J23" s="10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>
      <c r="A24" s="94" t="s">
        <v>103</v>
      </c>
      <c r="B24" s="95">
        <v>413.0</v>
      </c>
      <c r="C24" s="94" t="s">
        <v>29</v>
      </c>
      <c r="D24" s="94" t="s">
        <v>541</v>
      </c>
      <c r="E24" s="94" t="s">
        <v>715</v>
      </c>
      <c r="F24" s="97"/>
      <c r="G24" s="94">
        <v>1.0</v>
      </c>
      <c r="H24" s="94">
        <v>1.0</v>
      </c>
      <c r="I24" s="97"/>
      <c r="J24" s="10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>
      <c r="A25" s="94" t="s">
        <v>721</v>
      </c>
      <c r="B25" s="95">
        <v>414.0</v>
      </c>
      <c r="C25" s="94" t="s">
        <v>29</v>
      </c>
      <c r="D25" s="94" t="s">
        <v>541</v>
      </c>
      <c r="E25" s="94" t="s">
        <v>724</v>
      </c>
      <c r="F25" s="97"/>
      <c r="G25" s="97"/>
      <c r="H25" s="97"/>
      <c r="I25" s="97"/>
      <c r="J25" s="10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>
      <c r="A26" s="94" t="s">
        <v>108</v>
      </c>
      <c r="B26" s="95">
        <v>417.0</v>
      </c>
      <c r="C26" s="94" t="s">
        <v>29</v>
      </c>
      <c r="D26" s="94" t="s">
        <v>541</v>
      </c>
      <c r="E26" s="94" t="s">
        <v>732</v>
      </c>
      <c r="F26" s="97"/>
      <c r="G26" s="97"/>
      <c r="H26" s="97"/>
      <c r="I26" s="97"/>
      <c r="J26" s="10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94" t="s">
        <v>113</v>
      </c>
      <c r="B27" s="95">
        <v>418.0</v>
      </c>
      <c r="C27" s="94" t="s">
        <v>29</v>
      </c>
      <c r="D27" s="94" t="s">
        <v>541</v>
      </c>
      <c r="E27" s="94" t="s">
        <v>735</v>
      </c>
      <c r="F27" s="97"/>
      <c r="G27" s="97"/>
      <c r="H27" s="97"/>
      <c r="I27" s="97"/>
      <c r="J27" s="10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>
      <c r="A28" s="94" t="s">
        <v>741</v>
      </c>
      <c r="B28" s="95">
        <v>420.0</v>
      </c>
      <c r="C28" s="94" t="s">
        <v>29</v>
      </c>
      <c r="D28" s="94" t="s">
        <v>743</v>
      </c>
      <c r="E28" s="94" t="s">
        <v>744</v>
      </c>
      <c r="F28" s="97"/>
      <c r="G28" s="97"/>
      <c r="H28" s="97"/>
      <c r="I28" s="97"/>
      <c r="J28" s="10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>
      <c r="A29" s="94" t="s">
        <v>749</v>
      </c>
      <c r="B29" s="95">
        <v>428.0</v>
      </c>
      <c r="C29" s="94" t="s">
        <v>29</v>
      </c>
      <c r="D29" s="94" t="s">
        <v>541</v>
      </c>
      <c r="E29" s="94" t="s">
        <v>750</v>
      </c>
      <c r="F29" s="97"/>
      <c r="G29" s="97"/>
      <c r="H29" s="97"/>
      <c r="I29" s="97"/>
      <c r="J29" s="10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>
      <c r="A30" s="94" t="s">
        <v>755</v>
      </c>
      <c r="B30" s="95">
        <v>429.0</v>
      </c>
      <c r="C30" s="94" t="s">
        <v>29</v>
      </c>
      <c r="D30" s="94" t="s">
        <v>541</v>
      </c>
      <c r="E30" s="94" t="s">
        <v>758</v>
      </c>
      <c r="F30" s="97"/>
      <c r="G30" s="97"/>
      <c r="H30" s="97"/>
      <c r="I30" s="97"/>
      <c r="J30" s="10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>
      <c r="A31" s="94" t="s">
        <v>763</v>
      </c>
      <c r="B31" s="95">
        <v>133.0</v>
      </c>
      <c r="C31" s="94" t="s">
        <v>766</v>
      </c>
      <c r="D31" s="94" t="s">
        <v>767</v>
      </c>
      <c r="E31" s="94" t="s">
        <v>771</v>
      </c>
      <c r="F31" s="100">
        <v>46273.52811342593</v>
      </c>
      <c r="G31" s="97"/>
      <c r="H31" s="97"/>
      <c r="I31" s="97"/>
      <c r="J31" s="10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94" t="s">
        <v>779</v>
      </c>
      <c r="B32" s="95">
        <v>283.0</v>
      </c>
      <c r="C32" s="94" t="s">
        <v>766</v>
      </c>
      <c r="D32" s="94" t="s">
        <v>767</v>
      </c>
      <c r="E32" s="94" t="s">
        <v>782</v>
      </c>
      <c r="F32" s="100">
        <v>46273.534375</v>
      </c>
      <c r="G32" s="97"/>
      <c r="H32" s="97"/>
      <c r="I32" s="97"/>
      <c r="J32" s="10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>
      <c r="A33" s="94" t="s">
        <v>788</v>
      </c>
      <c r="B33" s="95">
        <v>289.0</v>
      </c>
      <c r="C33" s="94" t="s">
        <v>766</v>
      </c>
      <c r="D33" s="94" t="s">
        <v>541</v>
      </c>
      <c r="E33" s="94" t="s">
        <v>789</v>
      </c>
      <c r="F33" s="97"/>
      <c r="G33" s="97"/>
      <c r="H33" s="97"/>
      <c r="I33" s="97"/>
      <c r="J33" s="10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>
      <c r="A34" s="94" t="s">
        <v>797</v>
      </c>
      <c r="B34" s="95">
        <v>300.0</v>
      </c>
      <c r="C34" s="94" t="s">
        <v>766</v>
      </c>
      <c r="D34" s="94" t="s">
        <v>743</v>
      </c>
      <c r="E34" s="94" t="s">
        <v>800</v>
      </c>
      <c r="F34" s="97"/>
      <c r="G34" s="97"/>
      <c r="H34" s="97"/>
      <c r="I34" s="97"/>
      <c r="J34" s="10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>
      <c r="A35" s="94" t="s">
        <v>806</v>
      </c>
      <c r="B35" s="95">
        <v>309.0</v>
      </c>
      <c r="C35" s="94" t="s">
        <v>766</v>
      </c>
      <c r="D35" s="94" t="s">
        <v>767</v>
      </c>
      <c r="E35" s="94" t="s">
        <v>807</v>
      </c>
      <c r="F35" s="100">
        <v>46273.54189814815</v>
      </c>
      <c r="G35" s="97"/>
      <c r="H35" s="97"/>
      <c r="I35" s="97"/>
      <c r="J35" s="10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>
      <c r="A36" s="94" t="s">
        <v>814</v>
      </c>
      <c r="B36" s="95">
        <v>321.0</v>
      </c>
      <c r="C36" s="94" t="s">
        <v>766</v>
      </c>
      <c r="D36" s="94" t="s">
        <v>767</v>
      </c>
      <c r="E36" s="94" t="s">
        <v>816</v>
      </c>
      <c r="F36" s="100">
        <v>46273.535775462966</v>
      </c>
      <c r="G36" s="97"/>
      <c r="H36" s="97"/>
      <c r="I36" s="97"/>
      <c r="J36" s="10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94" t="s">
        <v>823</v>
      </c>
      <c r="B37" s="95">
        <v>325.0</v>
      </c>
      <c r="C37" s="94" t="s">
        <v>766</v>
      </c>
      <c r="D37" s="94" t="s">
        <v>541</v>
      </c>
      <c r="E37" s="94" t="s">
        <v>824</v>
      </c>
      <c r="F37" s="97"/>
      <c r="G37" s="97"/>
      <c r="H37" s="97"/>
      <c r="I37" s="97"/>
      <c r="J37" s="10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>
      <c r="A38" s="94" t="s">
        <v>832</v>
      </c>
      <c r="B38" s="95">
        <v>376.0</v>
      </c>
      <c r="C38" s="94" t="s">
        <v>766</v>
      </c>
      <c r="D38" s="94" t="s">
        <v>541</v>
      </c>
      <c r="E38" s="94" t="s">
        <v>833</v>
      </c>
      <c r="F38" s="97"/>
      <c r="G38" s="97"/>
      <c r="H38" s="97"/>
      <c r="I38" s="97"/>
      <c r="J38" s="10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>
      <c r="A39" s="94" t="s">
        <v>839</v>
      </c>
      <c r="B39" s="95">
        <v>313.0</v>
      </c>
      <c r="C39" s="94" t="s">
        <v>840</v>
      </c>
      <c r="D39" s="94" t="s">
        <v>767</v>
      </c>
      <c r="E39" s="94" t="s">
        <v>842</v>
      </c>
      <c r="F39" s="100">
        <v>46281.05725694444</v>
      </c>
      <c r="G39" s="97"/>
      <c r="H39" s="94">
        <v>1.0</v>
      </c>
      <c r="I39" s="97"/>
      <c r="J39" s="10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>
      <c r="A40" s="94" t="s">
        <v>846</v>
      </c>
      <c r="B40" s="95">
        <v>316.0</v>
      </c>
      <c r="C40" s="94" t="s">
        <v>840</v>
      </c>
      <c r="D40" s="94" t="s">
        <v>847</v>
      </c>
      <c r="E40" s="94" t="s">
        <v>848</v>
      </c>
      <c r="F40" s="97"/>
      <c r="G40" s="97"/>
      <c r="H40" s="97"/>
      <c r="I40" s="97"/>
      <c r="J40" s="10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>
      <c r="A41" s="94" t="s">
        <v>853</v>
      </c>
      <c r="B41" s="95">
        <v>324.0</v>
      </c>
      <c r="C41" s="94" t="s">
        <v>840</v>
      </c>
      <c r="D41" s="94" t="s">
        <v>847</v>
      </c>
      <c r="E41" s="94" t="s">
        <v>854</v>
      </c>
      <c r="F41" s="97"/>
      <c r="G41" s="97"/>
      <c r="H41" s="97"/>
      <c r="I41" s="97"/>
      <c r="J41" s="10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</row>
    <row r="42">
      <c r="A42" s="94" t="s">
        <v>859</v>
      </c>
      <c r="B42" s="95">
        <v>395.0</v>
      </c>
      <c r="C42" s="94" t="s">
        <v>840</v>
      </c>
      <c r="D42" s="94" t="s">
        <v>767</v>
      </c>
      <c r="E42" s="94" t="s">
        <v>860</v>
      </c>
      <c r="F42" s="100">
        <v>46285.76712962963</v>
      </c>
      <c r="G42" s="94">
        <v>1.0</v>
      </c>
      <c r="H42" s="94">
        <v>1.0</v>
      </c>
      <c r="I42" s="97"/>
      <c r="J42" s="10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>
      <c r="A43" s="94" t="s">
        <v>866</v>
      </c>
      <c r="B43" s="95">
        <v>397.0</v>
      </c>
      <c r="C43" s="94" t="s">
        <v>840</v>
      </c>
      <c r="D43" s="94" t="s">
        <v>541</v>
      </c>
      <c r="E43" s="94" t="s">
        <v>871</v>
      </c>
      <c r="F43" s="97"/>
      <c r="G43" s="94">
        <v>1.0</v>
      </c>
      <c r="H43" s="97"/>
      <c r="I43" s="97"/>
      <c r="J43" s="10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>
      <c r="A44" s="94" t="s">
        <v>876</v>
      </c>
      <c r="B44" s="95">
        <v>398.0</v>
      </c>
      <c r="C44" s="94" t="s">
        <v>840</v>
      </c>
      <c r="D44" s="94" t="s">
        <v>541</v>
      </c>
      <c r="E44" s="94" t="s">
        <v>879</v>
      </c>
      <c r="F44" s="97"/>
      <c r="G44" s="94">
        <v>1.0</v>
      </c>
      <c r="H44" s="97"/>
      <c r="I44" s="97"/>
      <c r="J44" s="10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>
      <c r="A45" s="94" t="s">
        <v>880</v>
      </c>
      <c r="B45" s="95">
        <v>412.0</v>
      </c>
      <c r="C45" s="94" t="s">
        <v>840</v>
      </c>
      <c r="D45" s="94" t="s">
        <v>541</v>
      </c>
      <c r="E45" s="94" t="s">
        <v>881</v>
      </c>
      <c r="F45" s="97"/>
      <c r="G45" s="94">
        <v>1.0</v>
      </c>
      <c r="H45" s="97"/>
      <c r="I45" s="97"/>
      <c r="J45" s="10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3.67"/>
    <col customWidth="1" min="2" max="2" width="8.11"/>
    <col customWidth="1" min="3" max="3" width="22.89"/>
    <col customWidth="1" min="4" max="4" width="63.22"/>
    <col customWidth="1" min="5" max="5" width="7.56"/>
    <col customWidth="1" min="6" max="6" width="10.44"/>
    <col customWidth="1" min="8" max="8" width="24.67"/>
  </cols>
  <sheetData>
    <row r="1" ht="28.5" customHeight="1">
      <c r="A1" s="151"/>
      <c r="B1" s="151" t="s">
        <v>5</v>
      </c>
      <c r="C1" s="152" t="s">
        <v>9</v>
      </c>
      <c r="D1" s="151" t="s">
        <v>12</v>
      </c>
      <c r="E1" s="153" t="s">
        <v>14</v>
      </c>
      <c r="F1" s="154" t="s">
        <v>19</v>
      </c>
      <c r="G1" s="154" t="s">
        <v>21</v>
      </c>
      <c r="H1" s="154" t="s">
        <v>23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55" t="s">
        <v>26</v>
      </c>
      <c r="B2" s="156">
        <v>156.0</v>
      </c>
      <c r="C2" s="155" t="s">
        <v>29</v>
      </c>
      <c r="D2" s="155" t="s">
        <v>30</v>
      </c>
      <c r="E2" s="157">
        <v>1.0</v>
      </c>
      <c r="F2" s="158" t="s">
        <v>31</v>
      </c>
      <c r="G2" s="158" t="s">
        <v>32</v>
      </c>
      <c r="H2" s="158" t="s">
        <v>33</v>
      </c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</row>
    <row r="3">
      <c r="A3" s="155" t="s">
        <v>34</v>
      </c>
      <c r="B3" s="156">
        <v>196.0</v>
      </c>
      <c r="C3" s="155" t="s">
        <v>29</v>
      </c>
      <c r="D3" s="155" t="s">
        <v>36</v>
      </c>
      <c r="E3" s="157">
        <v>1.0</v>
      </c>
      <c r="F3" s="158" t="s">
        <v>37</v>
      </c>
      <c r="G3" s="158" t="s">
        <v>38</v>
      </c>
      <c r="H3" s="158" t="s">
        <v>39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</row>
    <row r="4">
      <c r="A4" s="160" t="s">
        <v>40</v>
      </c>
      <c r="B4" s="161">
        <v>209.0</v>
      </c>
      <c r="C4" s="160" t="s">
        <v>29</v>
      </c>
      <c r="D4" s="160" t="s">
        <v>41</v>
      </c>
      <c r="E4" s="162">
        <v>0.0</v>
      </c>
      <c r="F4" s="163"/>
      <c r="G4" s="163"/>
      <c r="H4" s="163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>
      <c r="A5" s="155" t="s">
        <v>50</v>
      </c>
      <c r="B5" s="156">
        <v>220.0</v>
      </c>
      <c r="C5" s="155" t="s">
        <v>29</v>
      </c>
      <c r="D5" s="155" t="s">
        <v>51</v>
      </c>
      <c r="E5" s="157">
        <v>1.0</v>
      </c>
      <c r="F5" s="158" t="s">
        <v>52</v>
      </c>
      <c r="G5" s="158" t="s">
        <v>53</v>
      </c>
      <c r="H5" s="158" t="s">
        <v>54</v>
      </c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</row>
    <row r="6">
      <c r="A6" s="155" t="s">
        <v>59</v>
      </c>
      <c r="B6" s="156">
        <v>252.0</v>
      </c>
      <c r="C6" s="155" t="s">
        <v>29</v>
      </c>
      <c r="D6" s="155" t="s">
        <v>62</v>
      </c>
      <c r="E6" s="157">
        <v>1.0</v>
      </c>
      <c r="F6" s="158" t="s">
        <v>63</v>
      </c>
      <c r="G6" s="158" t="s">
        <v>65</v>
      </c>
      <c r="H6" s="158" t="s">
        <v>66</v>
      </c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</row>
    <row r="7">
      <c r="A7" s="155" t="s">
        <v>69</v>
      </c>
      <c r="B7" s="156">
        <v>253.0</v>
      </c>
      <c r="C7" s="155" t="s">
        <v>29</v>
      </c>
      <c r="D7" s="155" t="s">
        <v>70</v>
      </c>
      <c r="E7" s="157">
        <v>1.0</v>
      </c>
      <c r="F7" s="158" t="s">
        <v>71</v>
      </c>
      <c r="G7" s="158" t="s">
        <v>75</v>
      </c>
      <c r="H7" s="158" t="s">
        <v>76</v>
      </c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</row>
    <row r="8">
      <c r="A8" s="155" t="s">
        <v>77</v>
      </c>
      <c r="B8" s="156">
        <v>302.0</v>
      </c>
      <c r="C8" s="155" t="s">
        <v>29</v>
      </c>
      <c r="D8" s="155" t="s">
        <v>79</v>
      </c>
      <c r="E8" s="157">
        <v>1.0</v>
      </c>
      <c r="F8" s="158" t="s">
        <v>80</v>
      </c>
      <c r="G8" s="158" t="s">
        <v>81</v>
      </c>
      <c r="H8" s="158" t="s">
        <v>82</v>
      </c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</row>
    <row r="9">
      <c r="A9" s="155" t="s">
        <v>83</v>
      </c>
      <c r="B9" s="156">
        <v>387.0</v>
      </c>
      <c r="C9" s="155" t="s">
        <v>29</v>
      </c>
      <c r="D9" s="155" t="s">
        <v>84</v>
      </c>
      <c r="E9" s="157">
        <v>1.0</v>
      </c>
      <c r="F9" s="158" t="s">
        <v>85</v>
      </c>
      <c r="G9" s="158" t="s">
        <v>86</v>
      </c>
      <c r="H9" s="158" t="s">
        <v>87</v>
      </c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</row>
    <row r="10">
      <c r="A10" s="165" t="s">
        <v>118</v>
      </c>
      <c r="B10" s="166">
        <v>388.0</v>
      </c>
      <c r="C10" s="165" t="s">
        <v>119</v>
      </c>
      <c r="D10" s="165" t="s">
        <v>120</v>
      </c>
      <c r="E10" s="167">
        <v>1.0</v>
      </c>
      <c r="F10" s="168" t="s">
        <v>121</v>
      </c>
      <c r="G10" s="168" t="s">
        <v>86</v>
      </c>
      <c r="H10" s="168" t="s">
        <v>122</v>
      </c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>
      <c r="A11" s="68" t="s">
        <v>88</v>
      </c>
      <c r="B11" s="69">
        <v>402.0</v>
      </c>
      <c r="C11" s="68" t="s">
        <v>29</v>
      </c>
      <c r="D11" s="68" t="s">
        <v>89</v>
      </c>
      <c r="E11" s="170">
        <v>1.0</v>
      </c>
      <c r="F11" s="171" t="s">
        <v>90</v>
      </c>
      <c r="G11" s="171" t="s">
        <v>92</v>
      </c>
      <c r="H11" s="171" t="s">
        <v>93</v>
      </c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172" t="s">
        <v>123</v>
      </c>
      <c r="B12" s="173">
        <v>404.0</v>
      </c>
      <c r="C12" s="172" t="s">
        <v>124</v>
      </c>
      <c r="D12" s="172" t="s">
        <v>125</v>
      </c>
      <c r="E12" s="174">
        <v>1.0</v>
      </c>
      <c r="F12" s="175" t="s">
        <v>126</v>
      </c>
      <c r="G12" s="175" t="s">
        <v>127</v>
      </c>
      <c r="H12" s="175" t="s">
        <v>128</v>
      </c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68" t="s">
        <v>130</v>
      </c>
      <c r="B13" s="69">
        <v>405.0</v>
      </c>
      <c r="C13" s="68" t="s">
        <v>124</v>
      </c>
      <c r="D13" s="68" t="s">
        <v>131</v>
      </c>
      <c r="E13" s="170">
        <v>1.0</v>
      </c>
      <c r="F13" s="171" t="s">
        <v>132</v>
      </c>
      <c r="G13" s="171" t="s">
        <v>134</v>
      </c>
      <c r="H13" s="171" t="s">
        <v>135</v>
      </c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155" t="s">
        <v>95</v>
      </c>
      <c r="B14" s="156">
        <v>409.0</v>
      </c>
      <c r="C14" s="155" t="s">
        <v>29</v>
      </c>
      <c r="D14" s="155" t="s">
        <v>96</v>
      </c>
      <c r="E14" s="157">
        <v>1.0</v>
      </c>
      <c r="F14" s="158" t="s">
        <v>98</v>
      </c>
      <c r="G14" s="158" t="s">
        <v>100</v>
      </c>
      <c r="H14" s="158" t="s">
        <v>101</v>
      </c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</row>
    <row r="15">
      <c r="A15" s="155" t="s">
        <v>103</v>
      </c>
      <c r="B15" s="156">
        <v>413.0</v>
      </c>
      <c r="C15" s="155" t="s">
        <v>29</v>
      </c>
      <c r="D15" s="155" t="s">
        <v>104</v>
      </c>
      <c r="E15" s="157">
        <v>1.0</v>
      </c>
      <c r="F15" s="158" t="s">
        <v>105</v>
      </c>
      <c r="G15" s="158" t="s">
        <v>106</v>
      </c>
      <c r="H15" s="158" t="s">
        <v>107</v>
      </c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</row>
    <row r="16">
      <c r="A16" s="155" t="s">
        <v>108</v>
      </c>
      <c r="B16" s="156">
        <v>417.0</v>
      </c>
      <c r="C16" s="155" t="s">
        <v>29</v>
      </c>
      <c r="D16" s="155" t="s">
        <v>109</v>
      </c>
      <c r="E16" s="157">
        <v>1.0</v>
      </c>
      <c r="F16" s="158" t="s">
        <v>110</v>
      </c>
      <c r="G16" s="158" t="s">
        <v>111</v>
      </c>
      <c r="H16" s="158" t="s">
        <v>112</v>
      </c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</row>
    <row r="17">
      <c r="A17" s="155" t="s">
        <v>113</v>
      </c>
      <c r="B17" s="156">
        <v>418.0</v>
      </c>
      <c r="C17" s="155" t="s">
        <v>29</v>
      </c>
      <c r="D17" s="155" t="s">
        <v>114</v>
      </c>
      <c r="E17" s="157">
        <v>1.0</v>
      </c>
      <c r="F17" s="158" t="s">
        <v>115</v>
      </c>
      <c r="G17" s="158" t="s">
        <v>116</v>
      </c>
      <c r="H17" s="158" t="s">
        <v>117</v>
      </c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</row>
    <row r="18">
      <c r="A18" s="177" t="s">
        <v>136</v>
      </c>
      <c r="B18" s="177">
        <v>238.0</v>
      </c>
      <c r="C18" s="178" t="s">
        <v>137</v>
      </c>
      <c r="D18" s="179"/>
      <c r="E18" s="70">
        <v>1.0</v>
      </c>
      <c r="F18" s="180"/>
      <c r="G18" s="180"/>
      <c r="H18" s="180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38" t="s">
        <v>78</v>
      </c>
      <c r="B19" s="38">
        <v>117.0</v>
      </c>
      <c r="C19" s="38" t="s">
        <v>73</v>
      </c>
      <c r="D19" s="178" t="s">
        <v>146</v>
      </c>
      <c r="E19" s="70">
        <v>1.0</v>
      </c>
      <c r="F19" s="181" t="s">
        <v>148</v>
      </c>
      <c r="G19" s="181" t="s">
        <v>149</v>
      </c>
      <c r="H19" s="181" t="s">
        <v>150</v>
      </c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</row>
    <row r="20">
      <c r="A20" s="6" t="s">
        <v>78</v>
      </c>
      <c r="B20" s="38">
        <v>117.0</v>
      </c>
      <c r="C20" s="38" t="s">
        <v>73</v>
      </c>
      <c r="D20" s="38" t="s">
        <v>73</v>
      </c>
      <c r="E20" s="60">
        <v>1.0</v>
      </c>
      <c r="F20" s="7"/>
      <c r="G20" s="7"/>
      <c r="H20" s="7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38" t="s">
        <v>72</v>
      </c>
      <c r="B21" s="38">
        <v>146.0</v>
      </c>
      <c r="C21" s="38" t="s">
        <v>73</v>
      </c>
      <c r="D21" s="178" t="s">
        <v>146</v>
      </c>
      <c r="E21" s="70">
        <v>1.0</v>
      </c>
      <c r="F21" s="102" t="s">
        <v>153</v>
      </c>
      <c r="G21" s="102" t="s">
        <v>154</v>
      </c>
      <c r="H21" s="102" t="s">
        <v>155</v>
      </c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38" t="s">
        <v>91</v>
      </c>
      <c r="B22" s="38">
        <v>149.0</v>
      </c>
      <c r="C22" s="38" t="s">
        <v>73</v>
      </c>
      <c r="D22" s="178" t="s">
        <v>146</v>
      </c>
      <c r="E22" s="70">
        <v>1.0</v>
      </c>
      <c r="F22" s="7"/>
      <c r="G22" s="7"/>
      <c r="H22" s="7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idden="1">
      <c r="A23" s="38" t="s">
        <v>97</v>
      </c>
      <c r="B23" s="38" t="s">
        <v>164</v>
      </c>
      <c r="C23" s="38" t="s">
        <v>73</v>
      </c>
      <c r="D23" s="7"/>
      <c r="E23" s="60" t="s">
        <v>167</v>
      </c>
      <c r="F23" s="7"/>
      <c r="G23" s="7"/>
      <c r="H23" s="7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178" t="s">
        <v>64</v>
      </c>
      <c r="B24" s="177">
        <v>222.0</v>
      </c>
      <c r="C24" s="178" t="s">
        <v>1192</v>
      </c>
      <c r="D24" s="178" t="s">
        <v>146</v>
      </c>
      <c r="E24" s="70">
        <v>1.0</v>
      </c>
      <c r="F24" s="180"/>
      <c r="G24" s="180"/>
      <c r="H24" s="180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182" t="s">
        <v>165</v>
      </c>
      <c r="B25" s="183">
        <v>4.0</v>
      </c>
      <c r="C25" s="182" t="s">
        <v>173</v>
      </c>
      <c r="D25" s="182" t="s">
        <v>174</v>
      </c>
      <c r="E25" s="184">
        <v>1.0</v>
      </c>
      <c r="F25" s="185"/>
      <c r="G25" s="185"/>
      <c r="H25" s="185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182" t="s">
        <v>168</v>
      </c>
      <c r="B26" s="183">
        <v>6.0</v>
      </c>
      <c r="C26" s="182" t="s">
        <v>173</v>
      </c>
      <c r="D26" s="182" t="s">
        <v>181</v>
      </c>
      <c r="E26" s="186">
        <v>1.0</v>
      </c>
      <c r="F26" s="187" t="s">
        <v>182</v>
      </c>
      <c r="G26" s="187" t="s">
        <v>183</v>
      </c>
      <c r="H26" s="187" t="s">
        <v>185</v>
      </c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188" t="s">
        <v>187</v>
      </c>
      <c r="B27" s="189">
        <v>9.0</v>
      </c>
      <c r="C27" s="188" t="s">
        <v>173</v>
      </c>
      <c r="D27" s="188" t="s">
        <v>174</v>
      </c>
      <c r="E27" s="190">
        <v>1.0</v>
      </c>
      <c r="F27" s="191"/>
      <c r="G27" s="191"/>
      <c r="H27" s="19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8" t="s">
        <v>191</v>
      </c>
      <c r="B28" s="69">
        <v>10.0</v>
      </c>
      <c r="C28" s="68" t="s">
        <v>173</v>
      </c>
      <c r="D28" s="68" t="s">
        <v>193</v>
      </c>
      <c r="E28" s="170">
        <v>1.0</v>
      </c>
      <c r="F28" s="171" t="s">
        <v>194</v>
      </c>
      <c r="G28" s="171" t="s">
        <v>195</v>
      </c>
      <c r="H28" s="171" t="s">
        <v>196</v>
      </c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182" t="s">
        <v>197</v>
      </c>
      <c r="B29" s="183">
        <v>11.0</v>
      </c>
      <c r="C29" s="182" t="s">
        <v>173</v>
      </c>
      <c r="D29" s="182" t="s">
        <v>198</v>
      </c>
      <c r="E29" s="186">
        <v>1.0</v>
      </c>
      <c r="F29" s="187" t="s">
        <v>199</v>
      </c>
      <c r="G29" s="187" t="s">
        <v>200</v>
      </c>
      <c r="H29" s="187" t="s">
        <v>201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>
      <c r="A30" s="188" t="s">
        <v>143</v>
      </c>
      <c r="B30" s="189">
        <v>12.0</v>
      </c>
      <c r="C30" s="188" t="s">
        <v>173</v>
      </c>
      <c r="D30" s="188" t="s">
        <v>203</v>
      </c>
      <c r="E30" s="192">
        <v>1.0</v>
      </c>
      <c r="F30" s="193" t="s">
        <v>204</v>
      </c>
      <c r="G30" s="193" t="s">
        <v>205</v>
      </c>
      <c r="H30" s="193" t="s">
        <v>206</v>
      </c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8" t="s">
        <v>207</v>
      </c>
      <c r="B31" s="69">
        <v>13.0</v>
      </c>
      <c r="C31" s="68" t="s">
        <v>173</v>
      </c>
      <c r="D31" s="68" t="s">
        <v>209</v>
      </c>
      <c r="E31" s="170">
        <v>1.0</v>
      </c>
      <c r="F31" s="171" t="s">
        <v>210</v>
      </c>
      <c r="G31" s="171" t="s">
        <v>38</v>
      </c>
      <c r="H31" s="171" t="s">
        <v>211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>
      <c r="A32" s="182" t="s">
        <v>213</v>
      </c>
      <c r="B32" s="183">
        <v>17.0</v>
      </c>
      <c r="C32" s="182" t="s">
        <v>173</v>
      </c>
      <c r="D32" s="182" t="s">
        <v>214</v>
      </c>
      <c r="E32" s="186">
        <v>1.0</v>
      </c>
      <c r="F32" s="187" t="s">
        <v>215</v>
      </c>
      <c r="G32" s="187" t="s">
        <v>216</v>
      </c>
      <c r="H32" s="187" t="s">
        <v>218</v>
      </c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182" t="s">
        <v>219</v>
      </c>
      <c r="B33" s="183">
        <v>21.0</v>
      </c>
      <c r="C33" s="182" t="s">
        <v>173</v>
      </c>
      <c r="D33" s="182" t="s">
        <v>220</v>
      </c>
      <c r="E33" s="186">
        <v>1.0</v>
      </c>
      <c r="F33" s="187" t="s">
        <v>221</v>
      </c>
      <c r="G33" s="187" t="s">
        <v>222</v>
      </c>
      <c r="H33" s="187" t="s">
        <v>224</v>
      </c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182" t="s">
        <v>226</v>
      </c>
      <c r="B34" s="183">
        <v>28.0</v>
      </c>
      <c r="C34" s="182" t="s">
        <v>173</v>
      </c>
      <c r="D34" s="182" t="s">
        <v>227</v>
      </c>
      <c r="E34" s="186">
        <v>1.0</v>
      </c>
      <c r="F34" s="187" t="s">
        <v>229</v>
      </c>
      <c r="G34" s="187" t="s">
        <v>200</v>
      </c>
      <c r="H34" s="187" t="s">
        <v>230</v>
      </c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</row>
    <row r="35">
      <c r="A35" s="182" t="s">
        <v>231</v>
      </c>
      <c r="B35" s="183">
        <v>36.0</v>
      </c>
      <c r="C35" s="182" t="s">
        <v>173</v>
      </c>
      <c r="D35" s="182" t="s">
        <v>232</v>
      </c>
      <c r="E35" s="186">
        <v>1.0</v>
      </c>
      <c r="F35" s="187" t="s">
        <v>233</v>
      </c>
      <c r="G35" s="187" t="s">
        <v>234</v>
      </c>
      <c r="H35" s="187" t="s">
        <v>235</v>
      </c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</row>
    <row r="36">
      <c r="A36" s="182" t="s">
        <v>236</v>
      </c>
      <c r="B36" s="183">
        <v>39.0</v>
      </c>
      <c r="C36" s="182" t="s">
        <v>173</v>
      </c>
      <c r="D36" s="182" t="s">
        <v>237</v>
      </c>
      <c r="E36" s="186">
        <v>1.0</v>
      </c>
      <c r="F36" s="187" t="s">
        <v>239</v>
      </c>
      <c r="G36" s="187" t="s">
        <v>240</v>
      </c>
      <c r="H36" s="187" t="s">
        <v>241</v>
      </c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</row>
    <row r="37">
      <c r="A37" s="182" t="s">
        <v>243</v>
      </c>
      <c r="B37" s="183">
        <v>41.0</v>
      </c>
      <c r="C37" s="182" t="s">
        <v>173</v>
      </c>
      <c r="D37" s="182" t="s">
        <v>244</v>
      </c>
      <c r="E37" s="186">
        <v>1.0</v>
      </c>
      <c r="F37" s="187" t="s">
        <v>246</v>
      </c>
      <c r="G37" s="187" t="s">
        <v>247</v>
      </c>
      <c r="H37" s="187" t="s">
        <v>248</v>
      </c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</row>
    <row r="38">
      <c r="A38" s="182" t="s">
        <v>249</v>
      </c>
      <c r="B38" s="183">
        <v>42.0</v>
      </c>
      <c r="C38" s="182" t="s">
        <v>173</v>
      </c>
      <c r="D38" s="182" t="s">
        <v>250</v>
      </c>
      <c r="E38" s="186">
        <v>1.0</v>
      </c>
      <c r="F38" s="187" t="s">
        <v>251</v>
      </c>
      <c r="G38" s="187" t="s">
        <v>252</v>
      </c>
      <c r="H38" s="187" t="s">
        <v>253</v>
      </c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</row>
    <row r="39">
      <c r="A39" s="182" t="s">
        <v>255</v>
      </c>
      <c r="B39" s="183">
        <v>44.0</v>
      </c>
      <c r="C39" s="182" t="s">
        <v>173</v>
      </c>
      <c r="D39" s="182" t="s">
        <v>256</v>
      </c>
      <c r="E39" s="186">
        <v>1.0</v>
      </c>
      <c r="F39" s="187" t="s">
        <v>257</v>
      </c>
      <c r="G39" s="187" t="s">
        <v>258</v>
      </c>
      <c r="H39" s="187" t="s">
        <v>259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82" t="s">
        <v>261</v>
      </c>
      <c r="B40" s="183">
        <v>47.0</v>
      </c>
      <c r="C40" s="182" t="s">
        <v>173</v>
      </c>
      <c r="D40" s="182" t="s">
        <v>262</v>
      </c>
      <c r="E40" s="186">
        <v>1.0</v>
      </c>
      <c r="F40" s="187" t="s">
        <v>264</v>
      </c>
      <c r="G40" s="187" t="s">
        <v>179</v>
      </c>
      <c r="H40" s="187" t="s">
        <v>265</v>
      </c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</row>
    <row r="41">
      <c r="A41" s="182" t="s">
        <v>266</v>
      </c>
      <c r="B41" s="183">
        <v>50.0</v>
      </c>
      <c r="C41" s="182" t="s">
        <v>173</v>
      </c>
      <c r="D41" s="182" t="s">
        <v>267</v>
      </c>
      <c r="E41" s="186">
        <v>1.0</v>
      </c>
      <c r="F41" s="187" t="s">
        <v>268</v>
      </c>
      <c r="G41" s="187" t="s">
        <v>269</v>
      </c>
      <c r="H41" s="187" t="s">
        <v>270</v>
      </c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182" t="s">
        <v>273</v>
      </c>
      <c r="B42" s="183">
        <v>53.0</v>
      </c>
      <c r="C42" s="182" t="s">
        <v>173</v>
      </c>
      <c r="D42" s="182" t="s">
        <v>274</v>
      </c>
      <c r="E42" s="186">
        <v>1.0</v>
      </c>
      <c r="F42" s="187" t="s">
        <v>275</v>
      </c>
      <c r="G42" s="187" t="s">
        <v>81</v>
      </c>
      <c r="H42" s="187" t="s">
        <v>276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82" t="s">
        <v>279</v>
      </c>
      <c r="B43" s="183">
        <v>56.0</v>
      </c>
      <c r="C43" s="182" t="s">
        <v>173</v>
      </c>
      <c r="D43" s="182" t="s">
        <v>280</v>
      </c>
      <c r="E43" s="186">
        <v>1.0</v>
      </c>
      <c r="F43" s="187" t="s">
        <v>281</v>
      </c>
      <c r="G43" s="187" t="s">
        <v>195</v>
      </c>
      <c r="H43" s="187" t="s">
        <v>282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82" t="s">
        <v>283</v>
      </c>
      <c r="B44" s="183">
        <v>59.0</v>
      </c>
      <c r="C44" s="182" t="s">
        <v>173</v>
      </c>
      <c r="D44" s="182" t="s">
        <v>285</v>
      </c>
      <c r="E44" s="186">
        <v>1.0</v>
      </c>
      <c r="F44" s="187" t="s">
        <v>286</v>
      </c>
      <c r="G44" s="187" t="s">
        <v>287</v>
      </c>
      <c r="H44" s="187" t="s">
        <v>288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82" t="s">
        <v>289</v>
      </c>
      <c r="B45" s="183">
        <v>62.0</v>
      </c>
      <c r="C45" s="182" t="s">
        <v>173</v>
      </c>
      <c r="D45" s="182" t="s">
        <v>290</v>
      </c>
      <c r="E45" s="186">
        <v>1.0</v>
      </c>
      <c r="F45" s="187" t="s">
        <v>291</v>
      </c>
      <c r="G45" s="187" t="s">
        <v>234</v>
      </c>
      <c r="H45" s="187" t="s">
        <v>292</v>
      </c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>
      <c r="A46" s="182" t="s">
        <v>293</v>
      </c>
      <c r="B46" s="183">
        <v>68.0</v>
      </c>
      <c r="C46" s="182" t="s">
        <v>173</v>
      </c>
      <c r="D46" s="182" t="s">
        <v>294</v>
      </c>
      <c r="E46" s="184">
        <v>1.0</v>
      </c>
      <c r="F46" s="195" t="s">
        <v>1193</v>
      </c>
      <c r="G46" s="185"/>
      <c r="H46" s="185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>
      <c r="A47" s="182" t="s">
        <v>298</v>
      </c>
      <c r="B47" s="183">
        <v>72.0</v>
      </c>
      <c r="C47" s="182" t="s">
        <v>173</v>
      </c>
      <c r="D47" s="182" t="s">
        <v>299</v>
      </c>
      <c r="E47" s="186">
        <v>1.0</v>
      </c>
      <c r="F47" s="187" t="s">
        <v>301</v>
      </c>
      <c r="G47" s="187" t="s">
        <v>302</v>
      </c>
      <c r="H47" s="187" t="s">
        <v>303</v>
      </c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182" t="s">
        <v>305</v>
      </c>
      <c r="B48" s="183">
        <v>74.0</v>
      </c>
      <c r="C48" s="182" t="s">
        <v>173</v>
      </c>
      <c r="D48" s="182" t="s">
        <v>306</v>
      </c>
      <c r="E48" s="184">
        <v>1.0</v>
      </c>
      <c r="F48" s="195" t="s">
        <v>1193</v>
      </c>
      <c r="G48" s="185"/>
      <c r="H48" s="185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182" t="s">
        <v>311</v>
      </c>
      <c r="B49" s="183">
        <v>77.0</v>
      </c>
      <c r="C49" s="182" t="s">
        <v>173</v>
      </c>
      <c r="D49" s="182" t="s">
        <v>312</v>
      </c>
      <c r="E49" s="186">
        <v>1.0</v>
      </c>
      <c r="F49" s="187" t="s">
        <v>313</v>
      </c>
      <c r="G49" s="187" t="s">
        <v>314</v>
      </c>
      <c r="H49" s="187" t="s">
        <v>315</v>
      </c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>
      <c r="A50" s="182" t="s">
        <v>317</v>
      </c>
      <c r="B50" s="183">
        <v>83.0</v>
      </c>
      <c r="C50" s="182" t="s">
        <v>173</v>
      </c>
      <c r="D50" s="182" t="s">
        <v>318</v>
      </c>
      <c r="E50" s="186">
        <v>1.0</v>
      </c>
      <c r="F50" s="187" t="s">
        <v>319</v>
      </c>
      <c r="G50" s="187" t="s">
        <v>86</v>
      </c>
      <c r="H50" s="187" t="s">
        <v>320</v>
      </c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>
      <c r="A51" s="182" t="s">
        <v>322</v>
      </c>
      <c r="B51" s="183">
        <v>87.0</v>
      </c>
      <c r="C51" s="182" t="s">
        <v>173</v>
      </c>
      <c r="D51" s="182" t="s">
        <v>323</v>
      </c>
      <c r="E51" s="186">
        <v>1.0</v>
      </c>
      <c r="F51" s="187" t="s">
        <v>324</v>
      </c>
      <c r="G51" s="187" t="s">
        <v>326</v>
      </c>
      <c r="H51" s="187" t="s">
        <v>327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82" t="s">
        <v>328</v>
      </c>
      <c r="B52" s="183">
        <v>89.0</v>
      </c>
      <c r="C52" s="182" t="s">
        <v>173</v>
      </c>
      <c r="D52" s="182" t="s">
        <v>329</v>
      </c>
      <c r="E52" s="186">
        <v>1.0</v>
      </c>
      <c r="F52" s="187" t="s">
        <v>330</v>
      </c>
      <c r="G52" s="187" t="s">
        <v>331</v>
      </c>
      <c r="H52" s="187" t="s">
        <v>332</v>
      </c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>
      <c r="A53" s="196" t="s">
        <v>335</v>
      </c>
      <c r="B53" s="197">
        <v>90.0</v>
      </c>
      <c r="C53" s="196" t="s">
        <v>173</v>
      </c>
      <c r="D53" s="196" t="s">
        <v>336</v>
      </c>
      <c r="E53" s="198">
        <v>1.0</v>
      </c>
      <c r="F53" s="199" t="s">
        <v>337</v>
      </c>
      <c r="G53" s="199" t="s">
        <v>338</v>
      </c>
      <c r="H53" s="199" t="s">
        <v>339</v>
      </c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196" t="s">
        <v>341</v>
      </c>
      <c r="B54" s="197">
        <v>91.0</v>
      </c>
      <c r="C54" s="196" t="s">
        <v>173</v>
      </c>
      <c r="D54" s="196" t="s">
        <v>342</v>
      </c>
      <c r="E54" s="198">
        <v>1.0</v>
      </c>
      <c r="F54" s="199" t="s">
        <v>343</v>
      </c>
      <c r="G54" s="199" t="s">
        <v>314</v>
      </c>
      <c r="H54" s="199" t="s">
        <v>344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96" t="s">
        <v>35</v>
      </c>
      <c r="B55" s="197">
        <v>92.0</v>
      </c>
      <c r="C55" s="196" t="s">
        <v>173</v>
      </c>
      <c r="D55" s="196" t="s">
        <v>346</v>
      </c>
      <c r="E55" s="198">
        <v>1.0</v>
      </c>
      <c r="F55" s="199" t="s">
        <v>347</v>
      </c>
      <c r="G55" s="199" t="s">
        <v>348</v>
      </c>
      <c r="H55" s="199" t="s">
        <v>349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96" t="s">
        <v>350</v>
      </c>
      <c r="B56" s="197">
        <v>98.0</v>
      </c>
      <c r="C56" s="196" t="s">
        <v>173</v>
      </c>
      <c r="D56" s="196" t="s">
        <v>351</v>
      </c>
      <c r="E56" s="198">
        <v>1.0</v>
      </c>
      <c r="F56" s="199" t="s">
        <v>352</v>
      </c>
      <c r="G56" s="199" t="s">
        <v>38</v>
      </c>
      <c r="H56" s="199" t="s">
        <v>353</v>
      </c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>
      <c r="A57" s="196" t="s">
        <v>355</v>
      </c>
      <c r="B57" s="197">
        <v>104.0</v>
      </c>
      <c r="C57" s="196" t="s">
        <v>173</v>
      </c>
      <c r="D57" s="196" t="s">
        <v>356</v>
      </c>
      <c r="E57" s="200">
        <v>1.0</v>
      </c>
      <c r="F57" s="201"/>
      <c r="G57" s="201"/>
      <c r="H57" s="201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>
      <c r="A58" s="196" t="s">
        <v>361</v>
      </c>
      <c r="B58" s="197">
        <v>107.0</v>
      </c>
      <c r="C58" s="196" t="s">
        <v>173</v>
      </c>
      <c r="D58" s="196" t="s">
        <v>363</v>
      </c>
      <c r="E58" s="198">
        <v>1.0</v>
      </c>
      <c r="F58" s="202" t="s">
        <v>365</v>
      </c>
      <c r="G58" s="202" t="s">
        <v>366</v>
      </c>
      <c r="H58" s="202" t="s">
        <v>367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82" t="s">
        <v>369</v>
      </c>
      <c r="B59" s="183">
        <v>116.0</v>
      </c>
      <c r="C59" s="182" t="s">
        <v>173</v>
      </c>
      <c r="D59" s="182" t="s">
        <v>370</v>
      </c>
      <c r="E59" s="186">
        <v>1.0</v>
      </c>
      <c r="F59" s="203" t="s">
        <v>371</v>
      </c>
      <c r="G59" s="187" t="s">
        <v>258</v>
      </c>
      <c r="H59" s="203" t="s">
        <v>372</v>
      </c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>
      <c r="A60" s="182" t="s">
        <v>373</v>
      </c>
      <c r="B60" s="183">
        <v>129.0</v>
      </c>
      <c r="C60" s="182" t="s">
        <v>173</v>
      </c>
      <c r="D60" s="182" t="s">
        <v>374</v>
      </c>
      <c r="E60" s="186">
        <v>1.0</v>
      </c>
      <c r="F60" s="187" t="s">
        <v>375</v>
      </c>
      <c r="G60" s="187" t="s">
        <v>376</v>
      </c>
      <c r="H60" s="187" t="s">
        <v>377</v>
      </c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182" t="s">
        <v>379</v>
      </c>
      <c r="B61" s="183">
        <v>130.0</v>
      </c>
      <c r="C61" s="182" t="s">
        <v>173</v>
      </c>
      <c r="D61" s="182" t="s">
        <v>381</v>
      </c>
      <c r="E61" s="186">
        <v>1.0</v>
      </c>
      <c r="F61" s="187" t="s">
        <v>382</v>
      </c>
      <c r="G61" s="187" t="s">
        <v>149</v>
      </c>
      <c r="H61" s="187" t="s">
        <v>383</v>
      </c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160" t="s">
        <v>385</v>
      </c>
      <c r="B62" s="161">
        <v>143.0</v>
      </c>
      <c r="C62" s="160" t="s">
        <v>173</v>
      </c>
      <c r="D62" s="160" t="s">
        <v>386</v>
      </c>
      <c r="E62" s="48">
        <v>1.0</v>
      </c>
      <c r="F62" s="163"/>
      <c r="G62" s="163"/>
      <c r="H62" s="204" t="s">
        <v>1194</v>
      </c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>
      <c r="A63" s="182" t="s">
        <v>394</v>
      </c>
      <c r="B63" s="183">
        <v>144.0</v>
      </c>
      <c r="C63" s="182" t="s">
        <v>173</v>
      </c>
      <c r="D63" s="182" t="s">
        <v>395</v>
      </c>
      <c r="E63" s="186">
        <v>1.0</v>
      </c>
      <c r="F63" s="187" t="s">
        <v>398</v>
      </c>
      <c r="G63" s="187" t="s">
        <v>399</v>
      </c>
      <c r="H63" s="187" t="s">
        <v>400</v>
      </c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182" t="s">
        <v>401</v>
      </c>
      <c r="B64" s="183">
        <v>163.0</v>
      </c>
      <c r="C64" s="182" t="s">
        <v>173</v>
      </c>
      <c r="D64" s="182" t="s">
        <v>402</v>
      </c>
      <c r="E64" s="186">
        <v>1.0</v>
      </c>
      <c r="F64" s="203" t="s">
        <v>403</v>
      </c>
      <c r="G64" s="187" t="s">
        <v>399</v>
      </c>
      <c r="H64" s="203" t="s">
        <v>404</v>
      </c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</row>
    <row r="65">
      <c r="A65" s="182" t="s">
        <v>406</v>
      </c>
      <c r="B65" s="183">
        <v>164.0</v>
      </c>
      <c r="C65" s="182" t="s">
        <v>173</v>
      </c>
      <c r="D65" s="182" t="s">
        <v>408</v>
      </c>
      <c r="E65" s="186">
        <v>1.0</v>
      </c>
      <c r="F65" s="187" t="s">
        <v>409</v>
      </c>
      <c r="G65" s="187" t="s">
        <v>410</v>
      </c>
      <c r="H65" s="187" t="s">
        <v>411</v>
      </c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160" t="s">
        <v>412</v>
      </c>
      <c r="B66" s="161">
        <v>167.0</v>
      </c>
      <c r="C66" s="160" t="s">
        <v>173</v>
      </c>
      <c r="D66" s="160" t="s">
        <v>415</v>
      </c>
      <c r="E66" s="162">
        <v>0.0</v>
      </c>
      <c r="F66" s="163"/>
      <c r="G66" s="163"/>
      <c r="H66" s="163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</row>
    <row r="67">
      <c r="A67" s="182" t="s">
        <v>416</v>
      </c>
      <c r="B67" s="183">
        <v>169.0</v>
      </c>
      <c r="C67" s="182" t="s">
        <v>173</v>
      </c>
      <c r="D67" s="182" t="s">
        <v>418</v>
      </c>
      <c r="E67" s="186">
        <v>1.0</v>
      </c>
      <c r="F67" s="187" t="s">
        <v>419</v>
      </c>
      <c r="G67" s="187" t="s">
        <v>234</v>
      </c>
      <c r="H67" s="187" t="s">
        <v>420</v>
      </c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</row>
    <row r="68">
      <c r="A68" s="188" t="s">
        <v>421</v>
      </c>
      <c r="B68" s="189">
        <v>170.0</v>
      </c>
      <c r="C68" s="188" t="s">
        <v>173</v>
      </c>
      <c r="D68" s="188" t="s">
        <v>422</v>
      </c>
      <c r="E68" s="192">
        <v>1.0</v>
      </c>
      <c r="F68" s="193" t="s">
        <v>423</v>
      </c>
      <c r="G68" s="193" t="s">
        <v>424</v>
      </c>
      <c r="H68" s="193" t="s">
        <v>425</v>
      </c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182" t="s">
        <v>428</v>
      </c>
      <c r="B69" s="183">
        <v>172.0</v>
      </c>
      <c r="C69" s="182" t="s">
        <v>173</v>
      </c>
      <c r="D69" s="182" t="s">
        <v>429</v>
      </c>
      <c r="E69" s="186">
        <v>1.0</v>
      </c>
      <c r="F69" s="187" t="s">
        <v>430</v>
      </c>
      <c r="G69" s="187" t="s">
        <v>431</v>
      </c>
      <c r="H69" s="187" t="s">
        <v>432</v>
      </c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188" t="s">
        <v>434</v>
      </c>
      <c r="B70" s="189">
        <v>176.0</v>
      </c>
      <c r="C70" s="188" t="s">
        <v>173</v>
      </c>
      <c r="D70" s="188" t="s">
        <v>435</v>
      </c>
      <c r="E70" s="192">
        <v>1.0</v>
      </c>
      <c r="F70" s="193" t="s">
        <v>436</v>
      </c>
      <c r="G70" s="193" t="s">
        <v>437</v>
      </c>
      <c r="H70" s="193" t="s">
        <v>438</v>
      </c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188" t="s">
        <v>441</v>
      </c>
      <c r="B71" s="189">
        <v>183.0</v>
      </c>
      <c r="C71" s="188" t="s">
        <v>173</v>
      </c>
      <c r="D71" s="188" t="s">
        <v>442</v>
      </c>
      <c r="E71" s="192">
        <v>1.0</v>
      </c>
      <c r="F71" s="193" t="s">
        <v>443</v>
      </c>
      <c r="G71" s="193" t="s">
        <v>149</v>
      </c>
      <c r="H71" s="193" t="s">
        <v>445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82" t="s">
        <v>447</v>
      </c>
      <c r="B72" s="183">
        <v>190.0</v>
      </c>
      <c r="C72" s="182" t="s">
        <v>173</v>
      </c>
      <c r="D72" s="182" t="s">
        <v>448</v>
      </c>
      <c r="E72" s="186">
        <v>1.0</v>
      </c>
      <c r="F72" s="187" t="s">
        <v>449</v>
      </c>
      <c r="G72" s="187" t="s">
        <v>450</v>
      </c>
      <c r="H72" s="187" t="s">
        <v>451</v>
      </c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182" t="s">
        <v>453</v>
      </c>
      <c r="B73" s="183">
        <v>191.0</v>
      </c>
      <c r="C73" s="182" t="s">
        <v>173</v>
      </c>
      <c r="D73" s="182" t="s">
        <v>454</v>
      </c>
      <c r="E73" s="186">
        <v>1.0</v>
      </c>
      <c r="F73" s="187" t="s">
        <v>455</v>
      </c>
      <c r="G73" s="187" t="s">
        <v>86</v>
      </c>
      <c r="H73" s="187" t="s">
        <v>456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82" t="s">
        <v>457</v>
      </c>
      <c r="B74" s="183">
        <v>192.0</v>
      </c>
      <c r="C74" s="182" t="s">
        <v>173</v>
      </c>
      <c r="D74" s="182" t="s">
        <v>458</v>
      </c>
      <c r="E74" s="186">
        <v>1.0</v>
      </c>
      <c r="F74" s="187" t="s">
        <v>459</v>
      </c>
      <c r="G74" s="187" t="s">
        <v>460</v>
      </c>
      <c r="H74" s="187" t="s">
        <v>461</v>
      </c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</row>
    <row r="75">
      <c r="A75" s="182" t="s">
        <v>463</v>
      </c>
      <c r="B75" s="183">
        <v>206.0</v>
      </c>
      <c r="C75" s="182" t="s">
        <v>173</v>
      </c>
      <c r="D75" s="182" t="s">
        <v>464</v>
      </c>
      <c r="E75" s="186">
        <v>1.0</v>
      </c>
      <c r="F75" s="187" t="s">
        <v>465</v>
      </c>
      <c r="G75" s="187" t="s">
        <v>86</v>
      </c>
      <c r="H75" s="187" t="s">
        <v>466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96" t="s">
        <v>467</v>
      </c>
      <c r="B76" s="197">
        <v>213.0</v>
      </c>
      <c r="C76" s="196" t="s">
        <v>173</v>
      </c>
      <c r="D76" s="196" t="s">
        <v>468</v>
      </c>
      <c r="E76" s="198">
        <v>1.0</v>
      </c>
      <c r="F76" s="199" t="s">
        <v>469</v>
      </c>
      <c r="G76" s="199" t="s">
        <v>470</v>
      </c>
      <c r="H76" s="199" t="s">
        <v>471</v>
      </c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182" t="s">
        <v>473</v>
      </c>
      <c r="B77" s="183">
        <v>215.0</v>
      </c>
      <c r="C77" s="182" t="s">
        <v>173</v>
      </c>
      <c r="D77" s="182" t="s">
        <v>468</v>
      </c>
      <c r="E77" s="186">
        <v>1.0</v>
      </c>
      <c r="F77" s="187" t="s">
        <v>469</v>
      </c>
      <c r="G77" s="187" t="s">
        <v>470</v>
      </c>
      <c r="H77" s="187" t="s">
        <v>474</v>
      </c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182" t="s">
        <v>476</v>
      </c>
      <c r="B78" s="183">
        <v>217.0</v>
      </c>
      <c r="C78" s="182" t="s">
        <v>173</v>
      </c>
      <c r="D78" s="182" t="s">
        <v>477</v>
      </c>
      <c r="E78" s="186">
        <v>1.0</v>
      </c>
      <c r="F78" s="187" t="s">
        <v>478</v>
      </c>
      <c r="G78" s="187" t="s">
        <v>479</v>
      </c>
      <c r="H78" s="187" t="s">
        <v>480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82" t="s">
        <v>481</v>
      </c>
      <c r="B79" s="183">
        <v>245.0</v>
      </c>
      <c r="C79" s="182" t="s">
        <v>173</v>
      </c>
      <c r="D79" s="182" t="s">
        <v>482</v>
      </c>
      <c r="E79" s="186">
        <v>1.0</v>
      </c>
      <c r="F79" s="187" t="s">
        <v>483</v>
      </c>
      <c r="G79" s="187" t="s">
        <v>200</v>
      </c>
      <c r="H79" s="187" t="s">
        <v>484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82" t="s">
        <v>485</v>
      </c>
      <c r="B80" s="183">
        <v>249.0</v>
      </c>
      <c r="C80" s="182" t="s">
        <v>173</v>
      </c>
      <c r="D80" s="182" t="s">
        <v>486</v>
      </c>
      <c r="E80" s="186">
        <v>1.0</v>
      </c>
      <c r="F80" s="206" t="s">
        <v>487</v>
      </c>
      <c r="G80" s="187" t="s">
        <v>489</v>
      </c>
      <c r="H80" s="187" t="s">
        <v>490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82" t="s">
        <v>491</v>
      </c>
      <c r="B81" s="183">
        <v>250.0</v>
      </c>
      <c r="C81" s="182" t="s">
        <v>173</v>
      </c>
      <c r="D81" s="182" t="s">
        <v>492</v>
      </c>
      <c r="E81" s="184">
        <v>1.0</v>
      </c>
      <c r="F81" s="207" t="s">
        <v>493</v>
      </c>
      <c r="G81" s="208" t="s">
        <v>495</v>
      </c>
      <c r="H81" s="208" t="s">
        <v>497</v>
      </c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182" t="s">
        <v>498</v>
      </c>
      <c r="B82" s="183">
        <v>265.0</v>
      </c>
      <c r="C82" s="182" t="s">
        <v>173</v>
      </c>
      <c r="D82" s="182" t="s">
        <v>499</v>
      </c>
      <c r="E82" s="184">
        <v>1.0</v>
      </c>
      <c r="F82" s="209" t="s">
        <v>500</v>
      </c>
      <c r="G82" s="185"/>
      <c r="H82" s="210" t="s">
        <v>1195</v>
      </c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182" t="s">
        <v>511</v>
      </c>
      <c r="B83" s="183">
        <v>270.0</v>
      </c>
      <c r="C83" s="182" t="s">
        <v>173</v>
      </c>
      <c r="D83" s="182" t="s">
        <v>512</v>
      </c>
      <c r="E83" s="184">
        <v>1.0</v>
      </c>
      <c r="F83" s="185"/>
      <c r="G83" s="185"/>
      <c r="H83" s="185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182" t="s">
        <v>521</v>
      </c>
      <c r="B84" s="183">
        <v>271.0</v>
      </c>
      <c r="C84" s="182" t="s">
        <v>173</v>
      </c>
      <c r="D84" s="182" t="s">
        <v>523</v>
      </c>
      <c r="E84" s="186">
        <v>1.0</v>
      </c>
      <c r="F84" s="187" t="s">
        <v>524</v>
      </c>
      <c r="G84" s="187" t="s">
        <v>525</v>
      </c>
      <c r="H84" s="187" t="s">
        <v>526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82" t="s">
        <v>527</v>
      </c>
      <c r="B85" s="183">
        <v>273.0</v>
      </c>
      <c r="C85" s="182" t="s">
        <v>173</v>
      </c>
      <c r="D85" s="182" t="s">
        <v>528</v>
      </c>
      <c r="E85" s="186">
        <v>1.0</v>
      </c>
      <c r="F85" s="187" t="s">
        <v>529</v>
      </c>
      <c r="G85" s="187" t="s">
        <v>530</v>
      </c>
      <c r="H85" s="187" t="s">
        <v>531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82" t="s">
        <v>533</v>
      </c>
      <c r="B86" s="183">
        <v>274.0</v>
      </c>
      <c r="C86" s="182" t="s">
        <v>173</v>
      </c>
      <c r="D86" s="182" t="s">
        <v>535</v>
      </c>
      <c r="E86" s="186">
        <v>1.0</v>
      </c>
      <c r="F86" s="187" t="s">
        <v>536</v>
      </c>
      <c r="G86" s="187" t="s">
        <v>158</v>
      </c>
      <c r="H86" s="187" t="s">
        <v>537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82" t="s">
        <v>538</v>
      </c>
      <c r="B87" s="183">
        <v>278.0</v>
      </c>
      <c r="C87" s="182" t="s">
        <v>173</v>
      </c>
      <c r="D87" s="182" t="s">
        <v>540</v>
      </c>
      <c r="E87" s="184">
        <v>1.0</v>
      </c>
      <c r="F87" s="211" t="s">
        <v>542</v>
      </c>
      <c r="G87" s="187" t="s">
        <v>544</v>
      </c>
      <c r="H87" s="210" t="s">
        <v>1196</v>
      </c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182" t="s">
        <v>554</v>
      </c>
      <c r="B88" s="183">
        <v>281.0</v>
      </c>
      <c r="C88" s="182" t="s">
        <v>173</v>
      </c>
      <c r="D88" s="182" t="s">
        <v>555</v>
      </c>
      <c r="E88" s="186">
        <v>1.0</v>
      </c>
      <c r="F88" s="187" t="s">
        <v>556</v>
      </c>
      <c r="G88" s="187" t="s">
        <v>544</v>
      </c>
      <c r="H88" s="187" t="s">
        <v>558</v>
      </c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182" t="s">
        <v>560</v>
      </c>
      <c r="B89" s="183">
        <v>284.0</v>
      </c>
      <c r="C89" s="182" t="s">
        <v>173</v>
      </c>
      <c r="D89" s="182" t="s">
        <v>562</v>
      </c>
      <c r="E89" s="186">
        <v>1.0</v>
      </c>
      <c r="F89" s="187" t="s">
        <v>563</v>
      </c>
      <c r="G89" s="187" t="s">
        <v>564</v>
      </c>
      <c r="H89" s="187" t="s">
        <v>565</v>
      </c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182" t="s">
        <v>567</v>
      </c>
      <c r="B90" s="183">
        <v>290.0</v>
      </c>
      <c r="C90" s="182" t="s">
        <v>173</v>
      </c>
      <c r="D90" s="182" t="s">
        <v>568</v>
      </c>
      <c r="E90" s="186">
        <v>1.0</v>
      </c>
      <c r="F90" s="187" t="s">
        <v>570</v>
      </c>
      <c r="G90" s="187" t="s">
        <v>571</v>
      </c>
      <c r="H90" s="187" t="s">
        <v>572</v>
      </c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>
      <c r="A91" s="182" t="s">
        <v>574</v>
      </c>
      <c r="B91" s="183">
        <v>294.0</v>
      </c>
      <c r="C91" s="182" t="s">
        <v>173</v>
      </c>
      <c r="D91" s="182" t="s">
        <v>575</v>
      </c>
      <c r="E91" s="186">
        <v>1.0</v>
      </c>
      <c r="F91" s="187" t="s">
        <v>576</v>
      </c>
      <c r="G91" s="187" t="s">
        <v>577</v>
      </c>
      <c r="H91" s="187" t="s">
        <v>578</v>
      </c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212" t="s">
        <v>579</v>
      </c>
      <c r="B92" s="213">
        <v>297.0</v>
      </c>
      <c r="C92" s="212" t="s">
        <v>173</v>
      </c>
      <c r="D92" s="212" t="s">
        <v>581</v>
      </c>
      <c r="E92" s="214">
        <v>1.0</v>
      </c>
      <c r="F92" s="215" t="s">
        <v>582</v>
      </c>
      <c r="G92" s="215" t="s">
        <v>583</v>
      </c>
      <c r="H92" s="215" t="s">
        <v>584</v>
      </c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188" t="s">
        <v>587</v>
      </c>
      <c r="B93" s="189">
        <v>298.0</v>
      </c>
      <c r="C93" s="188" t="s">
        <v>173</v>
      </c>
      <c r="D93" s="188" t="s">
        <v>588</v>
      </c>
      <c r="E93" s="192">
        <v>1.0</v>
      </c>
      <c r="F93" s="193" t="s">
        <v>589</v>
      </c>
      <c r="G93" s="193" t="s">
        <v>86</v>
      </c>
      <c r="H93" s="193" t="s">
        <v>591</v>
      </c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182" t="s">
        <v>592</v>
      </c>
      <c r="B94" s="183">
        <v>306.0</v>
      </c>
      <c r="C94" s="182" t="s">
        <v>173</v>
      </c>
      <c r="D94" s="182" t="s">
        <v>594</v>
      </c>
      <c r="E94" s="186">
        <v>1.0</v>
      </c>
      <c r="F94" s="187" t="s">
        <v>596</v>
      </c>
      <c r="G94" s="187" t="s">
        <v>597</v>
      </c>
      <c r="H94" s="187" t="s">
        <v>599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82" t="s">
        <v>601</v>
      </c>
      <c r="B95" s="183">
        <v>308.0</v>
      </c>
      <c r="C95" s="182" t="s">
        <v>173</v>
      </c>
      <c r="D95" s="182" t="s">
        <v>603</v>
      </c>
      <c r="E95" s="186">
        <v>1.0</v>
      </c>
      <c r="F95" s="203" t="s">
        <v>604</v>
      </c>
      <c r="G95" s="203" t="s">
        <v>606</v>
      </c>
      <c r="H95" s="203" t="s">
        <v>607</v>
      </c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182" t="s">
        <v>608</v>
      </c>
      <c r="B96" s="183">
        <v>327.0</v>
      </c>
      <c r="C96" s="182" t="s">
        <v>173</v>
      </c>
      <c r="D96" s="182" t="s">
        <v>610</v>
      </c>
      <c r="E96" s="186">
        <v>1.0</v>
      </c>
      <c r="F96" s="187" t="s">
        <v>611</v>
      </c>
      <c r="G96" s="187" t="s">
        <v>314</v>
      </c>
      <c r="H96" s="187" t="s">
        <v>612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212" t="s">
        <v>616</v>
      </c>
      <c r="B97" s="213">
        <v>328.0</v>
      </c>
      <c r="C97" s="212" t="s">
        <v>173</v>
      </c>
      <c r="D97" s="212" t="s">
        <v>618</v>
      </c>
      <c r="E97" s="214">
        <v>1.0</v>
      </c>
      <c r="F97" s="215" t="s">
        <v>619</v>
      </c>
      <c r="G97" s="215" t="s">
        <v>620</v>
      </c>
      <c r="H97" s="215" t="s">
        <v>622</v>
      </c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>
      <c r="A98" s="182" t="s">
        <v>625</v>
      </c>
      <c r="B98" s="183">
        <v>332.0</v>
      </c>
      <c r="C98" s="182" t="s">
        <v>173</v>
      </c>
      <c r="D98" s="182" t="s">
        <v>628</v>
      </c>
      <c r="E98" s="186">
        <v>1.0</v>
      </c>
      <c r="F98" s="187" t="s">
        <v>629</v>
      </c>
      <c r="G98" s="187" t="s">
        <v>630</v>
      </c>
      <c r="H98" s="187" t="s">
        <v>631</v>
      </c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196" t="s">
        <v>634</v>
      </c>
      <c r="B99" s="197">
        <v>334.0</v>
      </c>
      <c r="C99" s="196" t="s">
        <v>173</v>
      </c>
      <c r="D99" s="196" t="s">
        <v>636</v>
      </c>
      <c r="E99" s="198">
        <v>1.0</v>
      </c>
      <c r="F99" s="199" t="s">
        <v>637</v>
      </c>
      <c r="G99" s="199" t="s">
        <v>86</v>
      </c>
      <c r="H99" s="199" t="s">
        <v>638</v>
      </c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196" t="s">
        <v>641</v>
      </c>
      <c r="B100" s="197">
        <v>336.0</v>
      </c>
      <c r="C100" s="196" t="s">
        <v>173</v>
      </c>
      <c r="D100" s="196" t="s">
        <v>642</v>
      </c>
      <c r="E100" s="198">
        <v>1.0</v>
      </c>
      <c r="F100" s="199" t="s">
        <v>643</v>
      </c>
      <c r="G100" s="199" t="s">
        <v>644</v>
      </c>
      <c r="H100" s="199" t="s">
        <v>645</v>
      </c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182" t="s">
        <v>647</v>
      </c>
      <c r="B101" s="183">
        <v>340.0</v>
      </c>
      <c r="C101" s="182" t="s">
        <v>173</v>
      </c>
      <c r="D101" s="182" t="s">
        <v>648</v>
      </c>
      <c r="E101" s="186">
        <v>1.0</v>
      </c>
      <c r="F101" s="203" t="s">
        <v>649</v>
      </c>
      <c r="G101" s="203" t="s">
        <v>650</v>
      </c>
      <c r="H101" s="203" t="s">
        <v>652</v>
      </c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</row>
    <row r="102">
      <c r="A102" s="182" t="s">
        <v>654</v>
      </c>
      <c r="B102" s="183">
        <v>342.0</v>
      </c>
      <c r="C102" s="182" t="s">
        <v>173</v>
      </c>
      <c r="D102" s="182" t="s">
        <v>655</v>
      </c>
      <c r="E102" s="186">
        <v>1.0</v>
      </c>
      <c r="F102" s="187" t="s">
        <v>656</v>
      </c>
      <c r="G102" s="187" t="s">
        <v>657</v>
      </c>
      <c r="H102" s="187" t="s">
        <v>659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82" t="s">
        <v>661</v>
      </c>
      <c r="B103" s="183">
        <v>346.0</v>
      </c>
      <c r="C103" s="182" t="s">
        <v>173</v>
      </c>
      <c r="D103" s="182" t="s">
        <v>663</v>
      </c>
      <c r="E103" s="186">
        <v>1.0</v>
      </c>
      <c r="F103" s="187" t="s">
        <v>664</v>
      </c>
      <c r="G103" s="187" t="s">
        <v>665</v>
      </c>
      <c r="H103" s="187" t="s">
        <v>666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82" t="s">
        <v>668</v>
      </c>
      <c r="B104" s="183">
        <v>347.0</v>
      </c>
      <c r="C104" s="182" t="s">
        <v>173</v>
      </c>
      <c r="D104" s="182" t="s">
        <v>670</v>
      </c>
      <c r="E104" s="186">
        <v>1.0</v>
      </c>
      <c r="F104" s="187" t="s">
        <v>672</v>
      </c>
      <c r="G104" s="187" t="s">
        <v>424</v>
      </c>
      <c r="H104" s="187" t="s">
        <v>674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82" t="s">
        <v>675</v>
      </c>
      <c r="B105" s="183">
        <v>354.0</v>
      </c>
      <c r="C105" s="182" t="s">
        <v>173</v>
      </c>
      <c r="D105" s="182" t="s">
        <v>677</v>
      </c>
      <c r="E105" s="186">
        <v>1.0</v>
      </c>
      <c r="F105" s="187" t="s">
        <v>678</v>
      </c>
      <c r="G105" s="187" t="s">
        <v>681</v>
      </c>
      <c r="H105" s="187" t="s">
        <v>682</v>
      </c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182" t="s">
        <v>684</v>
      </c>
      <c r="B106" s="183">
        <v>359.0</v>
      </c>
      <c r="C106" s="182" t="s">
        <v>173</v>
      </c>
      <c r="D106" s="182" t="s">
        <v>685</v>
      </c>
      <c r="E106" s="184">
        <v>1.0</v>
      </c>
      <c r="F106" s="185"/>
      <c r="G106" s="185"/>
      <c r="H106" s="185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182" t="s">
        <v>691</v>
      </c>
      <c r="B107" s="183">
        <v>360.0</v>
      </c>
      <c r="C107" s="182" t="s">
        <v>173</v>
      </c>
      <c r="D107" s="182" t="s">
        <v>693</v>
      </c>
      <c r="E107" s="186">
        <v>1.0</v>
      </c>
      <c r="F107" s="187" t="s">
        <v>696</v>
      </c>
      <c r="G107" s="187" t="s">
        <v>697</v>
      </c>
      <c r="H107" s="187" t="s">
        <v>698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82" t="s">
        <v>700</v>
      </c>
      <c r="B108" s="183">
        <v>362.0</v>
      </c>
      <c r="C108" s="182" t="s">
        <v>173</v>
      </c>
      <c r="D108" s="182" t="s">
        <v>701</v>
      </c>
      <c r="E108" s="186">
        <v>1.0</v>
      </c>
      <c r="F108" s="187" t="s">
        <v>702</v>
      </c>
      <c r="G108" s="187" t="s">
        <v>703</v>
      </c>
      <c r="H108" s="187" t="s">
        <v>705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82" t="s">
        <v>709</v>
      </c>
      <c r="B109" s="183">
        <v>367.0</v>
      </c>
      <c r="C109" s="182" t="s">
        <v>173</v>
      </c>
      <c r="D109" s="182" t="s">
        <v>710</v>
      </c>
      <c r="E109" s="186">
        <v>1.0</v>
      </c>
      <c r="F109" s="187" t="s">
        <v>712</v>
      </c>
      <c r="G109" s="187" t="s">
        <v>86</v>
      </c>
      <c r="H109" s="187" t="s">
        <v>713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82" t="s">
        <v>716</v>
      </c>
      <c r="B110" s="183">
        <v>368.0</v>
      </c>
      <c r="C110" s="182" t="s">
        <v>173</v>
      </c>
      <c r="D110" s="182" t="s">
        <v>717</v>
      </c>
      <c r="E110" s="184">
        <v>1.0</v>
      </c>
      <c r="F110" s="185"/>
      <c r="G110" s="185"/>
      <c r="H110" s="185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82" t="s">
        <v>720</v>
      </c>
      <c r="B111" s="183">
        <v>369.0</v>
      </c>
      <c r="C111" s="182" t="s">
        <v>173</v>
      </c>
      <c r="D111" s="182" t="s">
        <v>722</v>
      </c>
      <c r="E111" s="186">
        <v>1.0</v>
      </c>
      <c r="F111" s="187" t="s">
        <v>725</v>
      </c>
      <c r="G111" s="187" t="s">
        <v>727</v>
      </c>
      <c r="H111" s="187" t="s">
        <v>728</v>
      </c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182" t="s">
        <v>729</v>
      </c>
      <c r="B112" s="183">
        <v>370.0</v>
      </c>
      <c r="C112" s="182" t="s">
        <v>173</v>
      </c>
      <c r="D112" s="182" t="s">
        <v>730</v>
      </c>
      <c r="E112" s="186">
        <v>1.0</v>
      </c>
      <c r="F112" s="187" t="s">
        <v>731</v>
      </c>
      <c r="G112" s="187" t="s">
        <v>158</v>
      </c>
      <c r="H112" s="187" t="s">
        <v>733</v>
      </c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182" t="s">
        <v>734</v>
      </c>
      <c r="B113" s="183">
        <v>371.0</v>
      </c>
      <c r="C113" s="182" t="s">
        <v>173</v>
      </c>
      <c r="D113" s="182" t="s">
        <v>736</v>
      </c>
      <c r="E113" s="186">
        <v>1.0</v>
      </c>
      <c r="F113" s="187" t="s">
        <v>737</v>
      </c>
      <c r="G113" s="187" t="s">
        <v>738</v>
      </c>
      <c r="H113" s="187" t="s">
        <v>739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82" t="s">
        <v>742</v>
      </c>
      <c r="B114" s="183">
        <v>372.0</v>
      </c>
      <c r="C114" s="182" t="s">
        <v>173</v>
      </c>
      <c r="D114" s="182" t="s">
        <v>745</v>
      </c>
      <c r="E114" s="186">
        <v>1.0</v>
      </c>
      <c r="F114" s="187" t="s">
        <v>746</v>
      </c>
      <c r="G114" s="187" t="s">
        <v>747</v>
      </c>
      <c r="H114" s="187" t="s">
        <v>748</v>
      </c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182" t="s">
        <v>752</v>
      </c>
      <c r="B115" s="183">
        <v>374.0</v>
      </c>
      <c r="C115" s="182" t="s">
        <v>173</v>
      </c>
      <c r="D115" s="182" t="s">
        <v>753</v>
      </c>
      <c r="E115" s="186">
        <v>1.0</v>
      </c>
      <c r="F115" s="187" t="s">
        <v>754</v>
      </c>
      <c r="G115" s="187" t="s">
        <v>756</v>
      </c>
      <c r="H115" s="187" t="s">
        <v>757</v>
      </c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</row>
    <row r="116">
      <c r="A116" s="182" t="s">
        <v>759</v>
      </c>
      <c r="B116" s="183">
        <v>375.0</v>
      </c>
      <c r="C116" s="182" t="s">
        <v>173</v>
      </c>
      <c r="D116" s="182" t="s">
        <v>760</v>
      </c>
      <c r="E116" s="186">
        <v>1.0</v>
      </c>
      <c r="F116" s="187" t="s">
        <v>761</v>
      </c>
      <c r="G116" s="187" t="s">
        <v>650</v>
      </c>
      <c r="H116" s="187" t="s">
        <v>762</v>
      </c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</row>
    <row r="117">
      <c r="A117" s="182" t="s">
        <v>765</v>
      </c>
      <c r="B117" s="183">
        <v>378.0</v>
      </c>
      <c r="C117" s="182" t="s">
        <v>173</v>
      </c>
      <c r="D117" s="182" t="s">
        <v>768</v>
      </c>
      <c r="E117" s="186">
        <v>1.0</v>
      </c>
      <c r="F117" s="187" t="s">
        <v>769</v>
      </c>
      <c r="G117" s="187" t="s">
        <v>149</v>
      </c>
      <c r="H117" s="187" t="s">
        <v>770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82" t="s">
        <v>772</v>
      </c>
      <c r="B118" s="183">
        <v>379.0</v>
      </c>
      <c r="C118" s="182" t="s">
        <v>173</v>
      </c>
      <c r="D118" s="182" t="s">
        <v>773</v>
      </c>
      <c r="E118" s="184">
        <v>1.0</v>
      </c>
      <c r="F118" s="208" t="s">
        <v>774</v>
      </c>
      <c r="G118" s="208" t="s">
        <v>775</v>
      </c>
      <c r="H118" s="208" t="s">
        <v>776</v>
      </c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182" t="s">
        <v>778</v>
      </c>
      <c r="B119" s="183">
        <v>385.0</v>
      </c>
      <c r="C119" s="182" t="s">
        <v>173</v>
      </c>
      <c r="D119" s="182" t="s">
        <v>780</v>
      </c>
      <c r="E119" s="186">
        <v>1.0</v>
      </c>
      <c r="F119" s="187" t="s">
        <v>781</v>
      </c>
      <c r="G119" s="187" t="s">
        <v>179</v>
      </c>
      <c r="H119" s="187" t="s">
        <v>783</v>
      </c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182" t="s">
        <v>784</v>
      </c>
      <c r="B120" s="183">
        <v>389.0</v>
      </c>
      <c r="C120" s="182" t="s">
        <v>173</v>
      </c>
      <c r="D120" s="182" t="s">
        <v>785</v>
      </c>
      <c r="E120" s="184">
        <v>1.0</v>
      </c>
      <c r="F120" s="185"/>
      <c r="G120" s="185"/>
      <c r="H120" s="185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82" t="s">
        <v>790</v>
      </c>
      <c r="B121" s="183">
        <v>400.0</v>
      </c>
      <c r="C121" s="182" t="s">
        <v>173</v>
      </c>
      <c r="D121" s="182" t="s">
        <v>791</v>
      </c>
      <c r="E121" s="186">
        <v>1.0</v>
      </c>
      <c r="F121" s="187" t="s">
        <v>793</v>
      </c>
      <c r="G121" s="187" t="s">
        <v>794</v>
      </c>
      <c r="H121" s="187" t="s">
        <v>795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82" t="s">
        <v>798</v>
      </c>
      <c r="B122" s="183">
        <v>401.0</v>
      </c>
      <c r="C122" s="182" t="s">
        <v>173</v>
      </c>
      <c r="D122" s="182" t="s">
        <v>799</v>
      </c>
      <c r="E122" s="184">
        <v>1.0</v>
      </c>
      <c r="F122" s="185"/>
      <c r="G122" s="185"/>
      <c r="H122" s="185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182" t="s">
        <v>809</v>
      </c>
      <c r="B123" s="183">
        <v>403.0</v>
      </c>
      <c r="C123" s="182" t="s">
        <v>173</v>
      </c>
      <c r="D123" s="182" t="s">
        <v>810</v>
      </c>
      <c r="E123" s="184">
        <v>1.0</v>
      </c>
      <c r="F123" s="185"/>
      <c r="G123" s="185"/>
      <c r="H123" s="185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82" t="s">
        <v>815</v>
      </c>
      <c r="B124" s="183">
        <v>415.0</v>
      </c>
      <c r="C124" s="182" t="s">
        <v>173</v>
      </c>
      <c r="D124" s="182" t="s">
        <v>818</v>
      </c>
      <c r="E124" s="184">
        <v>1.0</v>
      </c>
      <c r="F124" s="208" t="s">
        <v>819</v>
      </c>
      <c r="G124" s="208" t="s">
        <v>821</v>
      </c>
      <c r="H124" s="208" t="s">
        <v>822</v>
      </c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212" t="s">
        <v>175</v>
      </c>
      <c r="B125" s="213">
        <v>7.0</v>
      </c>
      <c r="C125" s="212" t="s">
        <v>826</v>
      </c>
      <c r="D125" s="212" t="s">
        <v>827</v>
      </c>
      <c r="E125" s="214">
        <v>1.0</v>
      </c>
      <c r="F125" s="215" t="s">
        <v>829</v>
      </c>
      <c r="G125" s="215" t="s">
        <v>830</v>
      </c>
      <c r="H125" s="215" t="s">
        <v>831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212" t="s">
        <v>333</v>
      </c>
      <c r="B126" s="213">
        <v>48.0</v>
      </c>
      <c r="C126" s="212" t="s">
        <v>826</v>
      </c>
      <c r="D126" s="212" t="s">
        <v>836</v>
      </c>
      <c r="E126" s="214">
        <v>1.0</v>
      </c>
      <c r="F126" s="215" t="s">
        <v>837</v>
      </c>
      <c r="G126" s="215" t="s">
        <v>269</v>
      </c>
      <c r="H126" s="215" t="s">
        <v>838</v>
      </c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212" t="s">
        <v>426</v>
      </c>
      <c r="B127" s="213">
        <v>82.0</v>
      </c>
      <c r="C127" s="212" t="s">
        <v>826</v>
      </c>
      <c r="D127" s="212" t="s">
        <v>843</v>
      </c>
      <c r="E127" s="214">
        <v>1.0</v>
      </c>
      <c r="F127" s="215" t="s">
        <v>844</v>
      </c>
      <c r="G127" s="215" t="s">
        <v>269</v>
      </c>
      <c r="H127" s="215" t="s">
        <v>845</v>
      </c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</row>
    <row r="128">
      <c r="A128" s="212" t="s">
        <v>439</v>
      </c>
      <c r="B128" s="213">
        <v>85.0</v>
      </c>
      <c r="C128" s="212" t="s">
        <v>826</v>
      </c>
      <c r="D128" s="212" t="s">
        <v>849</v>
      </c>
      <c r="E128" s="214">
        <v>1.0</v>
      </c>
      <c r="F128" s="215" t="s">
        <v>850</v>
      </c>
      <c r="G128" s="215" t="s">
        <v>851</v>
      </c>
      <c r="H128" s="215" t="s">
        <v>852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212" t="s">
        <v>600</v>
      </c>
      <c r="B129" s="213">
        <v>122.0</v>
      </c>
      <c r="C129" s="212" t="s">
        <v>826</v>
      </c>
      <c r="D129" s="212" t="s">
        <v>855</v>
      </c>
      <c r="E129" s="214">
        <v>1.0</v>
      </c>
      <c r="F129" s="215" t="s">
        <v>856</v>
      </c>
      <c r="G129" s="215" t="s">
        <v>399</v>
      </c>
      <c r="H129" s="215" t="s">
        <v>858</v>
      </c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212" t="s">
        <v>621</v>
      </c>
      <c r="B130" s="213">
        <v>127.0</v>
      </c>
      <c r="C130" s="212" t="s">
        <v>826</v>
      </c>
      <c r="D130" s="212" t="s">
        <v>861</v>
      </c>
      <c r="E130" s="214">
        <v>1.0</v>
      </c>
      <c r="F130" s="215" t="s">
        <v>862</v>
      </c>
      <c r="G130" s="215" t="s">
        <v>747</v>
      </c>
      <c r="H130" s="215" t="s">
        <v>863</v>
      </c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212" t="s">
        <v>658</v>
      </c>
      <c r="B131" s="213">
        <v>131.0</v>
      </c>
      <c r="C131" s="212" t="s">
        <v>826</v>
      </c>
      <c r="D131" s="212" t="s">
        <v>867</v>
      </c>
      <c r="E131" s="214">
        <v>1.0</v>
      </c>
      <c r="F131" s="215" t="s">
        <v>868</v>
      </c>
      <c r="G131" s="215" t="s">
        <v>869</v>
      </c>
      <c r="H131" s="215" t="s">
        <v>870</v>
      </c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212" t="s">
        <v>667</v>
      </c>
      <c r="B132" s="213">
        <v>132.0</v>
      </c>
      <c r="C132" s="212" t="s">
        <v>826</v>
      </c>
      <c r="D132" s="212" t="s">
        <v>872</v>
      </c>
      <c r="E132" s="214">
        <v>1.0</v>
      </c>
      <c r="F132" s="215" t="s">
        <v>873</v>
      </c>
      <c r="G132" s="215" t="s">
        <v>875</v>
      </c>
      <c r="H132" s="215" t="s">
        <v>877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212" t="s">
        <v>692</v>
      </c>
      <c r="B133" s="213">
        <v>137.0</v>
      </c>
      <c r="C133" s="212" t="s">
        <v>826</v>
      </c>
      <c r="D133" s="212" t="s">
        <v>882</v>
      </c>
      <c r="E133" s="214">
        <v>1.0</v>
      </c>
      <c r="F133" s="215" t="s">
        <v>883</v>
      </c>
      <c r="G133" s="215" t="s">
        <v>149</v>
      </c>
      <c r="H133" s="215" t="s">
        <v>885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212" t="s">
        <v>808</v>
      </c>
      <c r="B134" s="213">
        <v>154.0</v>
      </c>
      <c r="C134" s="212" t="s">
        <v>826</v>
      </c>
      <c r="D134" s="212" t="s">
        <v>886</v>
      </c>
      <c r="E134" s="214">
        <v>1.0</v>
      </c>
      <c r="F134" s="215" t="s">
        <v>887</v>
      </c>
      <c r="G134" s="215" t="s">
        <v>38</v>
      </c>
      <c r="H134" s="215" t="s">
        <v>888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212" t="s">
        <v>817</v>
      </c>
      <c r="B135" s="213">
        <v>155.0</v>
      </c>
      <c r="C135" s="212" t="s">
        <v>826</v>
      </c>
      <c r="D135" s="212" t="s">
        <v>670</v>
      </c>
      <c r="E135" s="214">
        <v>1.0</v>
      </c>
      <c r="F135" s="215" t="s">
        <v>672</v>
      </c>
      <c r="G135" s="215" t="s">
        <v>424</v>
      </c>
      <c r="H135" s="215" t="s">
        <v>890</v>
      </c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212" t="s">
        <v>825</v>
      </c>
      <c r="B136" s="213">
        <v>158.0</v>
      </c>
      <c r="C136" s="212" t="s">
        <v>826</v>
      </c>
      <c r="D136" s="212" t="s">
        <v>892</v>
      </c>
      <c r="E136" s="214">
        <v>1.0</v>
      </c>
      <c r="F136" s="215" t="s">
        <v>893</v>
      </c>
      <c r="G136" s="215" t="s">
        <v>894</v>
      </c>
      <c r="H136" s="215" t="s">
        <v>895</v>
      </c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212" t="s">
        <v>864</v>
      </c>
      <c r="B137" s="213">
        <v>166.0</v>
      </c>
      <c r="C137" s="212" t="s">
        <v>826</v>
      </c>
      <c r="D137" s="212" t="s">
        <v>896</v>
      </c>
      <c r="E137" s="214">
        <v>1.0</v>
      </c>
      <c r="F137" s="215" t="s">
        <v>898</v>
      </c>
      <c r="G137" s="215" t="s">
        <v>899</v>
      </c>
      <c r="H137" s="215" t="s">
        <v>900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212" t="s">
        <v>902</v>
      </c>
      <c r="B138" s="213">
        <v>210.0</v>
      </c>
      <c r="C138" s="212" t="s">
        <v>826</v>
      </c>
      <c r="D138" s="212" t="s">
        <v>903</v>
      </c>
      <c r="E138" s="214">
        <v>1.0</v>
      </c>
      <c r="F138" s="215" t="s">
        <v>904</v>
      </c>
      <c r="G138" s="215" t="s">
        <v>905</v>
      </c>
      <c r="H138" s="215" t="s">
        <v>906</v>
      </c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212" t="s">
        <v>907</v>
      </c>
      <c r="B139" s="213">
        <v>214.0</v>
      </c>
      <c r="C139" s="212" t="s">
        <v>826</v>
      </c>
      <c r="D139" s="212" t="s">
        <v>468</v>
      </c>
      <c r="E139" s="214">
        <v>1.0</v>
      </c>
      <c r="F139" s="215" t="s">
        <v>469</v>
      </c>
      <c r="G139" s="215" t="s">
        <v>470</v>
      </c>
      <c r="H139" s="215" t="s">
        <v>909</v>
      </c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160" t="s">
        <v>910</v>
      </c>
      <c r="B140" s="161">
        <v>243.0</v>
      </c>
      <c r="C140" s="160" t="s">
        <v>826</v>
      </c>
      <c r="D140" s="160" t="s">
        <v>911</v>
      </c>
      <c r="E140" s="162">
        <v>0.0</v>
      </c>
      <c r="F140" s="163"/>
      <c r="G140" s="163"/>
      <c r="H140" s="163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>
      <c r="A141" s="212" t="s">
        <v>912</v>
      </c>
      <c r="B141" s="213">
        <v>258.0</v>
      </c>
      <c r="C141" s="212" t="s">
        <v>826</v>
      </c>
      <c r="D141" s="212" t="s">
        <v>913</v>
      </c>
      <c r="E141" s="214">
        <v>1.0</v>
      </c>
      <c r="F141" s="215" t="s">
        <v>915</v>
      </c>
      <c r="G141" s="215" t="s">
        <v>916</v>
      </c>
      <c r="H141" s="215" t="s">
        <v>917</v>
      </c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>
      <c r="A142" s="212" t="s">
        <v>919</v>
      </c>
      <c r="B142" s="213">
        <v>272.0</v>
      </c>
      <c r="C142" s="212" t="s">
        <v>826</v>
      </c>
      <c r="D142" s="212" t="s">
        <v>920</v>
      </c>
      <c r="E142" s="214">
        <v>1.0</v>
      </c>
      <c r="F142" s="215" t="s">
        <v>529</v>
      </c>
      <c r="G142" s="215" t="s">
        <v>530</v>
      </c>
      <c r="H142" s="215" t="s">
        <v>921</v>
      </c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>
      <c r="A143" s="212" t="s">
        <v>924</v>
      </c>
      <c r="B143" s="213">
        <v>280.0</v>
      </c>
      <c r="C143" s="212" t="s">
        <v>826</v>
      </c>
      <c r="D143" s="212" t="s">
        <v>925</v>
      </c>
      <c r="E143" s="214">
        <v>1.0</v>
      </c>
      <c r="F143" s="215" t="s">
        <v>926</v>
      </c>
      <c r="G143" s="215" t="s">
        <v>927</v>
      </c>
      <c r="H143" s="215" t="s">
        <v>928</v>
      </c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>
      <c r="A144" s="212" t="s">
        <v>929</v>
      </c>
      <c r="B144" s="213">
        <v>301.0</v>
      </c>
      <c r="C144" s="212" t="s">
        <v>826</v>
      </c>
      <c r="D144" s="212" t="s">
        <v>930</v>
      </c>
      <c r="E144" s="214">
        <v>1.0</v>
      </c>
      <c r="F144" s="215" t="s">
        <v>931</v>
      </c>
      <c r="G144" s="215" t="s">
        <v>703</v>
      </c>
      <c r="H144" s="215" t="s">
        <v>932</v>
      </c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>
      <c r="A145" s="212" t="s">
        <v>934</v>
      </c>
      <c r="B145" s="213">
        <v>305.0</v>
      </c>
      <c r="C145" s="212" t="s">
        <v>826</v>
      </c>
      <c r="D145" s="212" t="s">
        <v>935</v>
      </c>
      <c r="E145" s="214">
        <v>1.0</v>
      </c>
      <c r="F145" s="215" t="s">
        <v>153</v>
      </c>
      <c r="G145" s="215" t="s">
        <v>936</v>
      </c>
      <c r="H145" s="215" t="s">
        <v>937</v>
      </c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>
      <c r="A146" s="160" t="s">
        <v>938</v>
      </c>
      <c r="B146" s="161">
        <v>329.0</v>
      </c>
      <c r="C146" s="160" t="s">
        <v>826</v>
      </c>
      <c r="D146" s="160" t="s">
        <v>939</v>
      </c>
      <c r="E146" s="162">
        <v>0.0</v>
      </c>
      <c r="F146" s="163"/>
      <c r="G146" s="163"/>
      <c r="H146" s="163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>
      <c r="A147" s="212" t="s">
        <v>940</v>
      </c>
      <c r="B147" s="213">
        <v>331.0</v>
      </c>
      <c r="C147" s="212" t="s">
        <v>826</v>
      </c>
      <c r="D147" s="212" t="s">
        <v>941</v>
      </c>
      <c r="E147" s="214">
        <v>1.0</v>
      </c>
      <c r="F147" s="215" t="s">
        <v>942</v>
      </c>
      <c r="G147" s="215" t="s">
        <v>943</v>
      </c>
      <c r="H147" s="215" t="s">
        <v>945</v>
      </c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>
      <c r="A148" s="212" t="s">
        <v>946</v>
      </c>
      <c r="B148" s="213">
        <v>344.0</v>
      </c>
      <c r="C148" s="212" t="s">
        <v>826</v>
      </c>
      <c r="D148" s="212" t="s">
        <v>948</v>
      </c>
      <c r="E148" s="214">
        <v>1.0</v>
      </c>
      <c r="F148" s="215" t="s">
        <v>949</v>
      </c>
      <c r="G148" s="215" t="s">
        <v>149</v>
      </c>
      <c r="H148" s="215" t="s">
        <v>950</v>
      </c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>
      <c r="A149" s="212" t="s">
        <v>951</v>
      </c>
      <c r="B149" s="213">
        <v>345.0</v>
      </c>
      <c r="C149" s="212" t="s">
        <v>826</v>
      </c>
      <c r="D149" s="212" t="s">
        <v>952</v>
      </c>
      <c r="E149" s="214">
        <v>1.0</v>
      </c>
      <c r="F149" s="215" t="s">
        <v>954</v>
      </c>
      <c r="G149" s="215" t="s">
        <v>955</v>
      </c>
      <c r="H149" s="215" t="s">
        <v>956</v>
      </c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 hidden="1">
      <c r="A150" s="109" t="s">
        <v>957</v>
      </c>
      <c r="B150" s="110">
        <v>350.0</v>
      </c>
      <c r="C150" s="109" t="s">
        <v>826</v>
      </c>
      <c r="D150" s="111" t="s">
        <v>959</v>
      </c>
      <c r="E150" s="113" t="s">
        <v>167</v>
      </c>
      <c r="F150" s="114"/>
      <c r="G150" s="114"/>
      <c r="H150" s="114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212" t="s">
        <v>960</v>
      </c>
      <c r="B151" s="213">
        <v>351.0</v>
      </c>
      <c r="C151" s="212" t="s">
        <v>826</v>
      </c>
      <c r="D151" s="212" t="s">
        <v>962</v>
      </c>
      <c r="E151" s="214">
        <v>1.0</v>
      </c>
      <c r="F151" s="215" t="s">
        <v>963</v>
      </c>
      <c r="G151" s="215" t="s">
        <v>470</v>
      </c>
      <c r="H151" s="215" t="s">
        <v>964</v>
      </c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>
      <c r="A152" s="212" t="s">
        <v>965</v>
      </c>
      <c r="B152" s="213">
        <v>358.0</v>
      </c>
      <c r="C152" s="212" t="s">
        <v>826</v>
      </c>
      <c r="D152" s="212" t="s">
        <v>967</v>
      </c>
      <c r="E152" s="214">
        <v>1.0</v>
      </c>
      <c r="F152" s="215" t="s">
        <v>968</v>
      </c>
      <c r="G152" s="215" t="s">
        <v>100</v>
      </c>
      <c r="H152" s="215" t="s">
        <v>969</v>
      </c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>
      <c r="A153" s="212" t="s">
        <v>971</v>
      </c>
      <c r="B153" s="213">
        <v>364.0</v>
      </c>
      <c r="C153" s="212" t="s">
        <v>826</v>
      </c>
      <c r="D153" s="212" t="s">
        <v>972</v>
      </c>
      <c r="E153" s="214">
        <v>1.0</v>
      </c>
      <c r="F153" s="241" t="s">
        <v>974</v>
      </c>
      <c r="G153" s="241" t="s">
        <v>975</v>
      </c>
      <c r="H153" s="241" t="s">
        <v>976</v>
      </c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>
      <c r="A154" s="212" t="s">
        <v>978</v>
      </c>
      <c r="B154" s="213">
        <v>365.0</v>
      </c>
      <c r="C154" s="212" t="s">
        <v>826</v>
      </c>
      <c r="D154" s="212" t="s">
        <v>979</v>
      </c>
      <c r="E154" s="214">
        <v>1.0</v>
      </c>
      <c r="F154" s="215" t="s">
        <v>873</v>
      </c>
      <c r="G154" s="215" t="s">
        <v>875</v>
      </c>
      <c r="H154" s="215" t="s">
        <v>980</v>
      </c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>
      <c r="A155" s="212" t="s">
        <v>981</v>
      </c>
      <c r="B155" s="213">
        <v>366.0</v>
      </c>
      <c r="C155" s="212" t="s">
        <v>826</v>
      </c>
      <c r="D155" s="212" t="s">
        <v>983</v>
      </c>
      <c r="E155" s="214">
        <v>1.0</v>
      </c>
      <c r="F155" s="215" t="s">
        <v>984</v>
      </c>
      <c r="G155" s="215" t="s">
        <v>985</v>
      </c>
      <c r="H155" s="215" t="s">
        <v>986</v>
      </c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>
      <c r="A156" s="212" t="s">
        <v>989</v>
      </c>
      <c r="B156" s="213">
        <v>380.0</v>
      </c>
      <c r="C156" s="212" t="s">
        <v>826</v>
      </c>
      <c r="D156" s="212" t="s">
        <v>990</v>
      </c>
      <c r="E156" s="214">
        <v>1.0</v>
      </c>
      <c r="F156" s="215" t="s">
        <v>754</v>
      </c>
      <c r="G156" s="215" t="s">
        <v>991</v>
      </c>
      <c r="H156" s="215" t="s">
        <v>992</v>
      </c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>
      <c r="A157" s="212" t="s">
        <v>993</v>
      </c>
      <c r="B157" s="213">
        <v>381.0</v>
      </c>
      <c r="C157" s="212" t="s">
        <v>826</v>
      </c>
      <c r="D157" s="212" t="s">
        <v>994</v>
      </c>
      <c r="E157" s="214">
        <v>1.0</v>
      </c>
      <c r="F157" s="215" t="s">
        <v>996</v>
      </c>
      <c r="G157" s="215" t="s">
        <v>86</v>
      </c>
      <c r="H157" s="215" t="s">
        <v>998</v>
      </c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>
      <c r="A158" s="242" t="s">
        <v>763</v>
      </c>
      <c r="B158" s="243">
        <v>133.0</v>
      </c>
      <c r="C158" s="242" t="s">
        <v>766</v>
      </c>
      <c r="D158" s="242" t="s">
        <v>999</v>
      </c>
      <c r="E158" s="244">
        <v>1.0</v>
      </c>
      <c r="F158" s="245" t="s">
        <v>1000</v>
      </c>
      <c r="G158" s="245" t="s">
        <v>100</v>
      </c>
      <c r="H158" s="245" t="s">
        <v>1002</v>
      </c>
      <c r="I158" s="246"/>
      <c r="J158" s="246"/>
      <c r="K158" s="246"/>
      <c r="L158" s="246"/>
      <c r="M158" s="246"/>
      <c r="N158" s="246"/>
      <c r="O158" s="246"/>
      <c r="P158" s="246"/>
      <c r="Q158" s="246"/>
      <c r="R158" s="246"/>
      <c r="S158" s="246"/>
      <c r="T158" s="246"/>
      <c r="U158" s="246"/>
      <c r="V158" s="246"/>
      <c r="W158" s="246"/>
      <c r="X158" s="246"/>
      <c r="Y158" s="246"/>
      <c r="Z158" s="246"/>
    </row>
    <row r="159">
      <c r="A159" s="242" t="s">
        <v>779</v>
      </c>
      <c r="B159" s="243">
        <v>283.0</v>
      </c>
      <c r="C159" s="242" t="s">
        <v>766</v>
      </c>
      <c r="D159" s="242" t="s">
        <v>1004</v>
      </c>
      <c r="E159" s="244">
        <v>1.0</v>
      </c>
      <c r="F159" s="245" t="s">
        <v>604</v>
      </c>
      <c r="G159" s="245" t="s">
        <v>606</v>
      </c>
      <c r="H159" s="245" t="s">
        <v>1005</v>
      </c>
      <c r="I159" s="246"/>
      <c r="J159" s="246"/>
      <c r="K159" s="246"/>
      <c r="L159" s="246"/>
      <c r="M159" s="246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6"/>
    </row>
    <row r="160">
      <c r="A160" s="242" t="s">
        <v>806</v>
      </c>
      <c r="B160" s="243">
        <v>309.0</v>
      </c>
      <c r="C160" s="242" t="s">
        <v>766</v>
      </c>
      <c r="D160" s="242" t="s">
        <v>1007</v>
      </c>
      <c r="E160" s="247">
        <v>1.0</v>
      </c>
      <c r="F160" s="248" t="s">
        <v>1008</v>
      </c>
      <c r="G160" s="249" t="s">
        <v>1009</v>
      </c>
      <c r="H160" s="249" t="s">
        <v>1010</v>
      </c>
      <c r="I160" s="246"/>
      <c r="J160" s="246"/>
      <c r="K160" s="246"/>
      <c r="L160" s="246"/>
      <c r="M160" s="246"/>
      <c r="N160" s="246"/>
      <c r="O160" s="246"/>
      <c r="P160" s="246"/>
      <c r="Q160" s="246"/>
      <c r="R160" s="246"/>
      <c r="S160" s="246"/>
      <c r="T160" s="246"/>
      <c r="U160" s="246"/>
      <c r="V160" s="246"/>
      <c r="W160" s="246"/>
      <c r="X160" s="246"/>
      <c r="Y160" s="246"/>
      <c r="Z160" s="246"/>
    </row>
    <row r="161">
      <c r="A161" s="160" t="s">
        <v>814</v>
      </c>
      <c r="B161" s="161">
        <v>321.0</v>
      </c>
      <c r="C161" s="160" t="s">
        <v>766</v>
      </c>
      <c r="D161" s="160" t="s">
        <v>1011</v>
      </c>
      <c r="E161" s="162">
        <v>0.0</v>
      </c>
      <c r="F161" s="163"/>
      <c r="G161" s="163"/>
      <c r="H161" s="163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</row>
    <row r="162">
      <c r="A162" s="242" t="s">
        <v>823</v>
      </c>
      <c r="B162" s="243">
        <v>325.0</v>
      </c>
      <c r="C162" s="242" t="s">
        <v>766</v>
      </c>
      <c r="D162" s="242" t="s">
        <v>1012</v>
      </c>
      <c r="E162" s="244">
        <v>1.0</v>
      </c>
      <c r="F162" s="245" t="s">
        <v>1014</v>
      </c>
      <c r="G162" s="245" t="s">
        <v>1015</v>
      </c>
      <c r="H162" s="245" t="s">
        <v>1016</v>
      </c>
      <c r="I162" s="246"/>
      <c r="J162" s="246"/>
      <c r="K162" s="246"/>
      <c r="L162" s="246"/>
      <c r="M162" s="246"/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</row>
    <row r="163">
      <c r="A163" s="250" t="s">
        <v>839</v>
      </c>
      <c r="B163" s="251">
        <v>313.0</v>
      </c>
      <c r="C163" s="250" t="s">
        <v>840</v>
      </c>
      <c r="D163" s="250" t="s">
        <v>1017</v>
      </c>
      <c r="E163" s="252">
        <v>1.0</v>
      </c>
      <c r="F163" s="253" t="s">
        <v>1018</v>
      </c>
      <c r="G163" s="253" t="s">
        <v>1019</v>
      </c>
      <c r="H163" s="253" t="s">
        <v>1020</v>
      </c>
      <c r="I163" s="254"/>
      <c r="J163" s="254"/>
      <c r="K163" s="254"/>
      <c r="L163" s="254"/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  <c r="W163" s="254"/>
      <c r="X163" s="254"/>
      <c r="Y163" s="254"/>
      <c r="Z163" s="254"/>
    </row>
    <row r="164">
      <c r="A164" s="68" t="s">
        <v>846</v>
      </c>
      <c r="B164" s="69">
        <v>316.0</v>
      </c>
      <c r="C164" s="68" t="s">
        <v>840</v>
      </c>
      <c r="D164" s="68" t="s">
        <v>1028</v>
      </c>
      <c r="E164" s="170">
        <v>1.0</v>
      </c>
      <c r="F164" s="171" t="s">
        <v>1029</v>
      </c>
      <c r="G164" s="171" t="s">
        <v>1030</v>
      </c>
      <c r="H164" s="171" t="s">
        <v>1031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60" t="s">
        <v>853</v>
      </c>
      <c r="B165" s="161">
        <v>324.0</v>
      </c>
      <c r="C165" s="160" t="s">
        <v>840</v>
      </c>
      <c r="D165" s="160" t="s">
        <v>1024</v>
      </c>
      <c r="E165" s="162">
        <v>0.0</v>
      </c>
      <c r="F165" s="255"/>
      <c r="G165" s="255"/>
      <c r="H165" s="255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68" t="s">
        <v>859</v>
      </c>
      <c r="B166" s="69">
        <v>395.0</v>
      </c>
      <c r="C166" s="68" t="s">
        <v>840</v>
      </c>
      <c r="D166" s="68" t="s">
        <v>1033</v>
      </c>
      <c r="E166" s="170">
        <v>1.0</v>
      </c>
      <c r="F166" s="171" t="s">
        <v>1034</v>
      </c>
      <c r="G166" s="171" t="s">
        <v>100</v>
      </c>
      <c r="H166" s="171" t="s">
        <v>1035</v>
      </c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8" t="s">
        <v>866</v>
      </c>
      <c r="B167" s="69">
        <v>397.0</v>
      </c>
      <c r="C167" s="68" t="s">
        <v>840</v>
      </c>
      <c r="D167" s="68" t="s">
        <v>1037</v>
      </c>
      <c r="E167" s="170">
        <v>1.0</v>
      </c>
      <c r="F167" s="171" t="s">
        <v>1038</v>
      </c>
      <c r="G167" s="171" t="s">
        <v>1039</v>
      </c>
      <c r="H167" s="171" t="s">
        <v>1040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idden="1">
      <c r="A168" s="109" t="s">
        <v>876</v>
      </c>
      <c r="B168" s="110">
        <v>398.0</v>
      </c>
      <c r="C168" s="109" t="s">
        <v>840</v>
      </c>
      <c r="D168" s="111" t="s">
        <v>959</v>
      </c>
      <c r="E168" s="113" t="s">
        <v>167</v>
      </c>
      <c r="F168" s="114"/>
      <c r="G168" s="114"/>
      <c r="H168" s="114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68" t="s">
        <v>880</v>
      </c>
      <c r="B169" s="69">
        <v>412.0</v>
      </c>
      <c r="C169" s="68" t="s">
        <v>840</v>
      </c>
      <c r="D169" s="68" t="s">
        <v>1041</v>
      </c>
      <c r="E169" s="170">
        <v>1.0</v>
      </c>
      <c r="F169" s="171" t="s">
        <v>1042</v>
      </c>
      <c r="G169" s="171" t="s">
        <v>1043</v>
      </c>
      <c r="H169" s="171" t="s">
        <v>1044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20.25" customHeight="1">
      <c r="A170" s="256" t="s">
        <v>1214</v>
      </c>
      <c r="B170" s="31"/>
      <c r="C170" s="31"/>
      <c r="D170" s="32"/>
      <c r="E170" s="257">
        <f>SUM(E2:E169)</f>
        <v>159</v>
      </c>
      <c r="F170" s="258"/>
      <c r="G170" s="258"/>
      <c r="H170" s="258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10"/>
      <c r="B171" s="10"/>
      <c r="C171" s="10"/>
      <c r="D171" s="10"/>
      <c r="E171" s="2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2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2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2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2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2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2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2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2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2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2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2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2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2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2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2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2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2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2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2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2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2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2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2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2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2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2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2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2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2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2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2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2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2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2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2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2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2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2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2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2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2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2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2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2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2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2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2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2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2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2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2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2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2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2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2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2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2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2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2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2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2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2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2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2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2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2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2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2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2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2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2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2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2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2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2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2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2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2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2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2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2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2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2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2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2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2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2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2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2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2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2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2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2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2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2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2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2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2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2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2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2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2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2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2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2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2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2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2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2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2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2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2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2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2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2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2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2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2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2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2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2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2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2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2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2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2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2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2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2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2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2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2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2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2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2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2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2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2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2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2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2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2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2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2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2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2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2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2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2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2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2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2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2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2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2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2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2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2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2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2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2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2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2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2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2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2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2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2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2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2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2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2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2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2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2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2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2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2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2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2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2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2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2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2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2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2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2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2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2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2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2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2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2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2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2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2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2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2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2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2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2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2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2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2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2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2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2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2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2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2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2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2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2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2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2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2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2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2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2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2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2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2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2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2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2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2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2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2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2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2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2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2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2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2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2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2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2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2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2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2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2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2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2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2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2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2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2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2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2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2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2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2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2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2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2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2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2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2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2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2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2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2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2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2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2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2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2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2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2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2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2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2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2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2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2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2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2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2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2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2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2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2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2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2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2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2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2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2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2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2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2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2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2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2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2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2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2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2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2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2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2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2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2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2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2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2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2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2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2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2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2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2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2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2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2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2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2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2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2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2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2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2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2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2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2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2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2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2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2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2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2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2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2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2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2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2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2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2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2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2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2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2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2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2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2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2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2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2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2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2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2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2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2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2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2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2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2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2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2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2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2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2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2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2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2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2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2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2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2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2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2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2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2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2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2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2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2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2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2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2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2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2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2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2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2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2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2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2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2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2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2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2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2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2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2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2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2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2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2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2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2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2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2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2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2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2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2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2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2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2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2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2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2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2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2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2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2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2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2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2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2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2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2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2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2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2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2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2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2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2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2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2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2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2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2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2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2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2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2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2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2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2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2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2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2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2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2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2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2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2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2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2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2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2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2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2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2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2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2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2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2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2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2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2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2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2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2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2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2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2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2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2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2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2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2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2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2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2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2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2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2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2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2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2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2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2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2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2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2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2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2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2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2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2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2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2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2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2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2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2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2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2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2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2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2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2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2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2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2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2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2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2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2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2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2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2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2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2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2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2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2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2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2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2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2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2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2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2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2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2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2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2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2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2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2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2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2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2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2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2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2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2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2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2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2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2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2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2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2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2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2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2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2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2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2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2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2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2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2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2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2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2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2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2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2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2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2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2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2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2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2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2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2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2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2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2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2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2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2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2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2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2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2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2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2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2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2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2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2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2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2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2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2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2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2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2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2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2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2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2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2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2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2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2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2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2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2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2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2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2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2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2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2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2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2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2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2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2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2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2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2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2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2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2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2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2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2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2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2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2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2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2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2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2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2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2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2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2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2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2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2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2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2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2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2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2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2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2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2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2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2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2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2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2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2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2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2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2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2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2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2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2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2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2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2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2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2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2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2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2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2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2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2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2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2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2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2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2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2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2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2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2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2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2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2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2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2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2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2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2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2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2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2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2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2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2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2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2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2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2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2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2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2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2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2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2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2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2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2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2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2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2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2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2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2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2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2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2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2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2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2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2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2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2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2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2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2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2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2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2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2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2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2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2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2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2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2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2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2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2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2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2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2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2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2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2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2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2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2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2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2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2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2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2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2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2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2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2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2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2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2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2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2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2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2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2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2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2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2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2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2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2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2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2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2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2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2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2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2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2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2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2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2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2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2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2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2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2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2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2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2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2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2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2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2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2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2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2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2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2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2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2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2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2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2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2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2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2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2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2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2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2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2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2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2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2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2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2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2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2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2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2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2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2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2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2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autoFilter ref="$A$1:$H$169">
    <filterColumn colId="4">
      <filters>
        <filter val="0"/>
        <filter val="1"/>
      </filters>
    </filterColumn>
    <sortState ref="A1:H169">
      <sortCondition ref="C1:C169"/>
      <sortCondition ref="B1:B169"/>
    </sortState>
  </autoFilter>
  <mergeCells count="1">
    <mergeCell ref="A170:D170"/>
  </mergeCells>
  <hyperlinks>
    <hyperlink r:id="rId1" ref="H82"/>
    <hyperlink r:id="rId2" ref="H87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6.33"/>
    <col customWidth="1" min="2" max="2" width="15.11"/>
    <col customWidth="1" min="3" max="4" width="24.0"/>
    <col customWidth="1" min="5" max="5" width="48.56"/>
  </cols>
  <sheetData>
    <row r="1" ht="18.0" customHeight="1">
      <c r="A1" s="216" t="s">
        <v>1197</v>
      </c>
      <c r="B1" s="216" t="s">
        <v>1198</v>
      </c>
      <c r="C1" s="217" t="s">
        <v>1199</v>
      </c>
      <c r="D1" s="217" t="s">
        <v>1200</v>
      </c>
      <c r="E1" s="218" t="s">
        <v>1201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18.0" customHeight="1">
      <c r="A2" s="219" t="s">
        <v>1202</v>
      </c>
      <c r="B2" s="220">
        <v>243.0</v>
      </c>
      <c r="C2" s="221"/>
      <c r="D2" s="221"/>
      <c r="E2" s="219" t="s">
        <v>1203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ht="18.0" customHeight="1">
      <c r="A3" s="219" t="s">
        <v>1204</v>
      </c>
      <c r="B3" s="220">
        <v>226.0</v>
      </c>
      <c r="C3" s="221"/>
      <c r="D3" s="221"/>
      <c r="E3" s="219" t="s">
        <v>1205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ht="18.0" customHeight="1">
      <c r="A4" s="222" t="s">
        <v>1206</v>
      </c>
      <c r="B4" s="223">
        <v>223.0</v>
      </c>
      <c r="C4" s="224"/>
      <c r="D4" s="224"/>
      <c r="E4" s="225" t="s">
        <v>1207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ht="18.0" customHeight="1">
      <c r="A5" s="222" t="s">
        <v>49</v>
      </c>
      <c r="B5" s="226">
        <f>countif('Main track'!G:G, "Accept") + countif('Main track'!G:G, "Accepted")</f>
        <v>98</v>
      </c>
      <c r="C5" s="227">
        <f t="shared" ref="C5:C6" si="1">round(B5*100/$B$2,1)</f>
        <v>40.3</v>
      </c>
      <c r="D5" s="227">
        <f>round(B5*100/$B$3,1)</f>
        <v>43.4</v>
      </c>
      <c r="E5" s="228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ht="18.0" customHeight="1">
      <c r="A6" s="222" t="s">
        <v>1208</v>
      </c>
      <c r="B6" s="226">
        <f>countif('Main track'!G:G, "Short") + countif('Main track'!G:G, "Short Paper")</f>
        <v>30</v>
      </c>
      <c r="C6" s="227">
        <f t="shared" si="1"/>
        <v>12.3</v>
      </c>
      <c r="D6" s="227">
        <f t="shared" ref="D6:D7" si="2">round(B6*100/$B$2,1)</f>
        <v>12.3</v>
      </c>
      <c r="E6" s="228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ht="18.0" customHeight="1">
      <c r="A7" s="229" t="s">
        <v>496</v>
      </c>
      <c r="B7" s="226">
        <f>B8+B9</f>
        <v>5</v>
      </c>
      <c r="C7" s="227">
        <f>round(B7*100/$B$4,1)</f>
        <v>2.2</v>
      </c>
      <c r="D7" s="227">
        <f t="shared" si="2"/>
        <v>2.1</v>
      </c>
      <c r="E7" s="228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18.0" customHeight="1">
      <c r="A8" s="230" t="s">
        <v>146</v>
      </c>
      <c r="B8" s="231">
        <v>4.0</v>
      </c>
      <c r="C8" s="232"/>
      <c r="D8" s="232"/>
      <c r="E8" s="228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18.0" customHeight="1">
      <c r="A9" s="233" t="s">
        <v>137</v>
      </c>
      <c r="B9" s="231">
        <v>1.0</v>
      </c>
      <c r="C9" s="232"/>
      <c r="D9" s="232"/>
      <c r="E9" s="228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18.0" customHeight="1">
      <c r="A10" s="234" t="s">
        <v>1209</v>
      </c>
      <c r="B10" s="226">
        <v>44.0</v>
      </c>
      <c r="C10" s="235"/>
      <c r="D10" s="235"/>
      <c r="E10" s="228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18.0" customHeight="1">
      <c r="A11" s="236" t="s">
        <v>1210</v>
      </c>
      <c r="B11" s="237">
        <f>countif(Workshop!C:C, "AI-TECH Workshop")</f>
        <v>29</v>
      </c>
      <c r="C11" s="238"/>
      <c r="D11" s="238"/>
      <c r="E11" s="238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18.0" customHeight="1">
      <c r="A12" s="236" t="s">
        <v>1211</v>
      </c>
      <c r="B12" s="237">
        <v>8.0</v>
      </c>
      <c r="C12" s="238"/>
      <c r="D12" s="238"/>
      <c r="E12" s="23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18.0" customHeight="1">
      <c r="A13" s="236" t="s">
        <v>1212</v>
      </c>
      <c r="B13" s="237">
        <v>7.0</v>
      </c>
      <c r="C13" s="238"/>
      <c r="D13" s="238"/>
      <c r="E13" s="238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>
      <c r="A14" s="239" t="s">
        <v>1213</v>
      </c>
      <c r="B14" s="31"/>
      <c r="C14" s="32"/>
      <c r="D14" s="45">
        <f>sum(D5:D6)</f>
        <v>55.7</v>
      </c>
      <c r="E14" s="45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>
      <c r="A17" s="22"/>
      <c r="B17" s="22">
        <f>sum(B5,B6,B10)</f>
        <v>172</v>
      </c>
      <c r="C17" s="22">
        <f>B17*14</f>
        <v>2408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>
      <c r="A18" s="22"/>
      <c r="B18" s="22"/>
      <c r="C18" s="22">
        <f>B5*14+B6*8+B10*14</f>
        <v>2228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>
      <c r="A23" s="22"/>
      <c r="B23" s="22"/>
      <c r="C23" s="22">
        <f>B5-10</f>
        <v>88</v>
      </c>
      <c r="D23" s="22">
        <f>C23*14</f>
        <v>1232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>
      <c r="A24" s="22"/>
      <c r="B24" s="22"/>
      <c r="C24" s="22">
        <f>B6-2</f>
        <v>28</v>
      </c>
      <c r="D24" s="22">
        <f>C24*8</f>
        <v>224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>
      <c r="A25" s="22"/>
      <c r="B25" s="22"/>
      <c r="C25" s="22">
        <f>B10-3</f>
        <v>41</v>
      </c>
      <c r="D25" s="22">
        <f>C25*14</f>
        <v>574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>
      <c r="A26" s="22"/>
      <c r="B26" s="22"/>
      <c r="C26" s="22"/>
      <c r="D26" s="22">
        <f>sum(D23:D25)</f>
        <v>2030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1">
    <mergeCell ref="A14:C1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48.67"/>
  </cols>
  <sheetData>
    <row r="1">
      <c r="A1" s="259" t="s">
        <v>1215</v>
      </c>
      <c r="B1" s="259" t="s">
        <v>1216</v>
      </c>
    </row>
    <row r="2">
      <c r="A2" s="259">
        <v>4.0</v>
      </c>
      <c r="B2" s="259" t="s">
        <v>1217</v>
      </c>
    </row>
    <row r="3">
      <c r="A3" s="259">
        <v>9.0</v>
      </c>
      <c r="B3" s="259" t="s">
        <v>1217</v>
      </c>
    </row>
    <row r="4">
      <c r="B4" s="259" t="s">
        <v>1218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2026-09-16T13:20:09Z</dcterms:created>
  <dc:creator>Cuong Pham-Quoc</dc:creator>
</cp:coreProperties>
</file>